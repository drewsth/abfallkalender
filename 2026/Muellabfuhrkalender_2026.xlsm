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K:\Haus\__Abfallkalender\2026\"/>
    </mc:Choice>
  </mc:AlternateContent>
  <xr:revisionPtr revIDLastSave="0" documentId="13_ncr:1_{1A5D4492-5C57-4723-8C11-71B88D4AFCB1}" xr6:coauthVersionLast="47" xr6:coauthVersionMax="47" xr10:uidLastSave="{00000000-0000-0000-0000-000000000000}"/>
  <bookViews>
    <workbookView xWindow="-108" yWindow="-108" windowWidth="23256" windowHeight="12456" activeTab="1" xr2:uid="{26CA47CF-9A04-4153-AC35-CA55E27E29E1}"/>
  </bookViews>
  <sheets>
    <sheet name="Config" sheetId="7" r:id="rId1"/>
    <sheet name="Straßenindex" sheetId="1" r:id="rId2"/>
    <sheet name="Restmüll" sheetId="2" r:id="rId3"/>
    <sheet name="Biomüll" sheetId="4" r:id="rId4"/>
    <sheet name="GelberSack" sheetId="3" r:id="rId5"/>
    <sheet name="Garten" sheetId="8" r:id="rId6"/>
    <sheet name="Korrektur" sheetId="5" r:id="rId7"/>
    <sheet name="Ical-Links" sheetId="6" r:id="rId8"/>
  </sheets>
  <functionGroups builtInGroupCount="19"/>
  <definedNames>
    <definedName name="_xlnm._FilterDatabase" localSheetId="1" hidden="1">Straßenindex!$A$2:$G$165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2" l="1"/>
  <c r="G141" i="1"/>
  <c r="G135" i="1"/>
  <c r="B1" i="2"/>
  <c r="F6" i="2" s="1"/>
  <c r="B1" i="4"/>
  <c r="C33" i="4" s="1"/>
  <c r="G98" i="1"/>
  <c r="B16" i="4" l="1"/>
  <c r="D16" i="4"/>
  <c r="C16" i="4"/>
  <c r="B14" i="4"/>
  <c r="D14" i="4"/>
  <c r="C14" i="4"/>
  <c r="D33" i="4"/>
  <c r="B33" i="4"/>
  <c r="D35" i="4"/>
  <c r="D37" i="4"/>
  <c r="D39" i="4"/>
  <c r="B38" i="4"/>
  <c r="B40" i="4"/>
  <c r="C38" i="4"/>
  <c r="C40" i="4"/>
  <c r="B36" i="4"/>
  <c r="C36" i="4"/>
  <c r="D36" i="4"/>
  <c r="D38" i="4"/>
  <c r="D40" i="4"/>
  <c r="B37" i="4"/>
  <c r="B39" i="4"/>
  <c r="C37" i="4"/>
  <c r="C39" i="4"/>
  <c r="B30" i="4"/>
  <c r="C13" i="2"/>
  <c r="D23" i="2"/>
  <c r="C22" i="4"/>
  <c r="D22" i="2"/>
  <c r="E25" i="2"/>
  <c r="E24" i="2"/>
  <c r="C5" i="2"/>
  <c r="F26" i="2"/>
  <c r="C29" i="2"/>
  <c r="F25" i="2"/>
  <c r="C14" i="2"/>
  <c r="D16" i="2"/>
  <c r="C25" i="2"/>
  <c r="C9" i="2"/>
  <c r="E17" i="2"/>
  <c r="F13" i="2"/>
  <c r="C22" i="2"/>
  <c r="C6" i="2"/>
  <c r="D13" i="2"/>
  <c r="E11" i="2"/>
  <c r="F5" i="2"/>
  <c r="C30" i="4"/>
  <c r="C26" i="2"/>
  <c r="C10" i="2"/>
  <c r="D17" i="2"/>
  <c r="E18" i="2"/>
  <c r="F19" i="2"/>
  <c r="C12" i="4"/>
  <c r="C21" i="2"/>
  <c r="D4" i="2"/>
  <c r="D9" i="2"/>
  <c r="E10" i="2"/>
  <c r="B11" i="4"/>
  <c r="C18" i="2"/>
  <c r="D27" i="2"/>
  <c r="D6" i="2"/>
  <c r="E7" i="2"/>
  <c r="B25" i="4"/>
  <c r="C17" i="2"/>
  <c r="D26" i="2"/>
  <c r="D5" i="2"/>
  <c r="F29" i="2"/>
  <c r="B27" i="4"/>
  <c r="D26" i="4"/>
  <c r="C24" i="2"/>
  <c r="C4" i="2"/>
  <c r="C23" i="2"/>
  <c r="C15" i="2"/>
  <c r="C7" i="2"/>
  <c r="D24" i="2"/>
  <c r="D14" i="2"/>
  <c r="E26" i="2"/>
  <c r="E15" i="2"/>
  <c r="F27" i="2"/>
  <c r="F9" i="2"/>
  <c r="C20" i="2"/>
  <c r="D29" i="2"/>
  <c r="D21" i="2"/>
  <c r="D8" i="2"/>
  <c r="E23" i="2"/>
  <c r="E9" i="2"/>
  <c r="F21" i="2"/>
  <c r="C28" i="2"/>
  <c r="C12" i="2"/>
  <c r="C27" i="2"/>
  <c r="C19" i="2"/>
  <c r="C11" i="2"/>
  <c r="D28" i="2"/>
  <c r="D20" i="2"/>
  <c r="D7" i="2"/>
  <c r="E19" i="2"/>
  <c r="E8" i="2"/>
  <c r="F20" i="2"/>
  <c r="C16" i="2"/>
  <c r="C8" i="2"/>
  <c r="D25" i="2"/>
  <c r="D15" i="2"/>
  <c r="E27" i="2"/>
  <c r="E16" i="2"/>
  <c r="F28" i="2"/>
  <c r="F12" i="2"/>
  <c r="B4" i="4"/>
  <c r="B32" i="4"/>
  <c r="C21" i="4"/>
  <c r="D25" i="4"/>
  <c r="D17" i="4"/>
  <c r="B5" i="4"/>
  <c r="B18" i="4"/>
  <c r="C28" i="4"/>
  <c r="D6" i="4"/>
  <c r="B6" i="4"/>
  <c r="B15" i="4"/>
  <c r="B31" i="4"/>
  <c r="B20" i="4"/>
  <c r="D4" i="4"/>
  <c r="C9" i="4"/>
  <c r="C27" i="4"/>
  <c r="C19" i="4"/>
  <c r="D31" i="4"/>
  <c r="D23" i="4"/>
  <c r="D13" i="4"/>
  <c r="D5" i="4"/>
  <c r="D18" i="4"/>
  <c r="D8" i="4"/>
  <c r="B12" i="4"/>
  <c r="C11" i="4"/>
  <c r="D34" i="4"/>
  <c r="D7" i="4"/>
  <c r="B29" i="4"/>
  <c r="C10" i="4"/>
  <c r="C20" i="4"/>
  <c r="D15" i="4"/>
  <c r="B7" i="4"/>
  <c r="B17" i="4"/>
  <c r="B34" i="4"/>
  <c r="B22" i="4"/>
  <c r="C18" i="4"/>
  <c r="C8" i="4"/>
  <c r="C26" i="4"/>
  <c r="D30" i="4"/>
  <c r="D22" i="4"/>
  <c r="D12" i="4"/>
  <c r="B13" i="4"/>
  <c r="C4" i="4"/>
  <c r="D32" i="4"/>
  <c r="D24" i="4"/>
  <c r="B8" i="4"/>
  <c r="B19" i="4"/>
  <c r="B24" i="4"/>
  <c r="C17" i="4"/>
  <c r="C7" i="4"/>
  <c r="C34" i="4"/>
  <c r="C25" i="4"/>
  <c r="D29" i="4"/>
  <c r="D21" i="4"/>
  <c r="D11" i="4"/>
  <c r="B35" i="4"/>
  <c r="C29" i="4"/>
  <c r="B9" i="4"/>
  <c r="B21" i="4"/>
  <c r="B26" i="4"/>
  <c r="C15" i="4"/>
  <c r="C6" i="4"/>
  <c r="C32" i="4"/>
  <c r="C24" i="4"/>
  <c r="D28" i="4"/>
  <c r="D20" i="4"/>
  <c r="D10" i="4"/>
  <c r="C35" i="4"/>
  <c r="B10" i="4"/>
  <c r="B23" i="4"/>
  <c r="B28" i="4"/>
  <c r="C13" i="4"/>
  <c r="C5" i="4"/>
  <c r="C31" i="4"/>
  <c r="C23" i="4"/>
  <c r="D27" i="4"/>
  <c r="D19" i="4"/>
  <c r="D9" i="4"/>
  <c r="F18" i="2"/>
  <c r="F17" i="2"/>
  <c r="F11" i="2"/>
  <c r="F10" i="2"/>
  <c r="D12" i="2"/>
  <c r="E4" i="2"/>
  <c r="E22" i="2"/>
  <c r="E14" i="2"/>
  <c r="E6" i="2"/>
  <c r="F24" i="2"/>
  <c r="F16" i="2"/>
  <c r="F8" i="2"/>
  <c r="D19" i="2"/>
  <c r="D11" i="2"/>
  <c r="E29" i="2"/>
  <c r="E21" i="2"/>
  <c r="E13" i="2"/>
  <c r="E5" i="2"/>
  <c r="F23" i="2"/>
  <c r="F15" i="2"/>
  <c r="F7" i="2"/>
  <c r="D18" i="2"/>
  <c r="D10" i="2"/>
  <c r="E28" i="2"/>
  <c r="E20" i="2"/>
  <c r="E12" i="2"/>
  <c r="F4" i="2"/>
  <c r="F22" i="2"/>
  <c r="F14" i="2"/>
  <c r="G96" i="1"/>
  <c r="G9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6" i="1"/>
  <c r="G137" i="1"/>
  <c r="G138" i="1"/>
  <c r="G139" i="1"/>
  <c r="G140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54" i="1"/>
  <c r="H161" i="1" l="1"/>
  <c r="I3" i="1" a="1"/>
  <c r="I3" i="1" s="1"/>
  <c r="J3" i="1" l="1"/>
  <c r="I4" i="1" a="1"/>
  <c r="I4" i="1" s="1"/>
  <c r="I5" i="1" l="1" a="1"/>
  <c r="I5" i="1" s="1"/>
  <c r="J4" i="1"/>
  <c r="I6" i="1" l="1" a="1"/>
  <c r="I6" i="1" s="1"/>
  <c r="J5" i="1"/>
  <c r="I7" i="1" l="1" a="1"/>
  <c r="I7" i="1" s="1"/>
  <c r="J7" i="1" s="1"/>
  <c r="J6" i="1"/>
  <c r="I8" i="1" l="1" a="1"/>
  <c r="I8" i="1" s="1"/>
  <c r="J8" i="1" s="1"/>
  <c r="I9" i="1" l="1" a="1"/>
  <c r="I9" i="1" s="1"/>
  <c r="J9" i="1" s="1"/>
  <c r="I10" i="1" l="1" a="1"/>
  <c r="I10" i="1" s="1"/>
  <c r="J10" i="1" s="1"/>
  <c r="I11" i="1" l="1" a="1"/>
  <c r="I11" i="1" s="1"/>
  <c r="J11" i="1" s="1"/>
  <c r="I12" i="1" l="1" a="1"/>
  <c r="I12" i="1" s="1"/>
  <c r="I13" i="1" l="1" a="1"/>
  <c r="I13" i="1" s="1"/>
  <c r="J12" i="1"/>
  <c r="I14" i="1" l="1" a="1"/>
  <c r="I14" i="1" s="1"/>
  <c r="J13" i="1"/>
  <c r="I15" i="1" l="1" a="1"/>
  <c r="I15" i="1" s="1"/>
  <c r="J14" i="1"/>
  <c r="I16" i="1" l="1" a="1"/>
  <c r="I16" i="1" s="1"/>
  <c r="J15" i="1"/>
  <c r="I17" i="1" l="1" a="1"/>
  <c r="I17" i="1" s="1"/>
  <c r="J16" i="1"/>
  <c r="I18" i="1" l="1" a="1"/>
  <c r="I18" i="1" s="1"/>
  <c r="J17" i="1"/>
  <c r="I19" i="1" l="1" a="1"/>
  <c r="I19" i="1" s="1"/>
  <c r="J18" i="1"/>
  <c r="I20" i="1" l="1" a="1"/>
  <c r="I20" i="1" s="1"/>
  <c r="J19" i="1"/>
  <c r="I21" i="1" l="1" a="1"/>
  <c r="I21" i="1" s="1"/>
  <c r="J20" i="1"/>
  <c r="I22" i="1" l="1" a="1"/>
  <c r="I22" i="1" s="1"/>
  <c r="I23" i="1" s="1" a="1"/>
  <c r="I23" i="1" s="1"/>
  <c r="I24" i="1" s="1" a="1"/>
  <c r="I24" i="1" s="1"/>
  <c r="I25" i="1" s="1" a="1"/>
  <c r="I25" i="1" s="1"/>
  <c r="I26" i="1" s="1" a="1"/>
  <c r="I26" i="1" s="1"/>
  <c r="I27" i="1" s="1" a="1"/>
  <c r="I27" i="1" s="1"/>
  <c r="I28" i="1" s="1" a="1"/>
  <c r="I28" i="1" s="1"/>
  <c r="I29" i="1" s="1" a="1"/>
  <c r="I29" i="1" s="1"/>
  <c r="I30" i="1" s="1" a="1"/>
  <c r="I30" i="1" s="1"/>
  <c r="I31" i="1" s="1" a="1"/>
  <c r="I31" i="1" s="1"/>
  <c r="I32" i="1" s="1" a="1"/>
  <c r="I32" i="1" s="1"/>
  <c r="I33" i="1" s="1" a="1"/>
  <c r="I33" i="1" s="1"/>
  <c r="I34" i="1" s="1" a="1"/>
  <c r="I34" i="1" s="1"/>
  <c r="I35" i="1" s="1" a="1"/>
  <c r="I35" i="1" s="1"/>
  <c r="I36" i="1" s="1" a="1"/>
  <c r="I36" i="1" s="1"/>
  <c r="I37" i="1" s="1" a="1"/>
  <c r="I37" i="1" s="1"/>
  <c r="I38" i="1" s="1" a="1"/>
  <c r="I38" i="1" s="1"/>
  <c r="I39" i="1" s="1" a="1"/>
  <c r="I39" i="1" s="1"/>
  <c r="I40" i="1" s="1" a="1"/>
  <c r="I40" i="1" s="1"/>
  <c r="I41" i="1" s="1" a="1"/>
  <c r="I41" i="1" s="1"/>
  <c r="I42" i="1" s="1" a="1"/>
  <c r="I42" i="1" s="1"/>
  <c r="I43" i="1" s="1" a="1"/>
  <c r="I43" i="1" s="1"/>
  <c r="I44" i="1" s="1" a="1"/>
  <c r="I44" i="1" s="1"/>
  <c r="I45" i="1" s="1" a="1"/>
  <c r="I45" i="1" s="1"/>
  <c r="I46" i="1" s="1" a="1"/>
  <c r="I46" i="1" s="1"/>
  <c r="I47" i="1" s="1" a="1"/>
  <c r="I47" i="1" s="1"/>
  <c r="I48" i="1" s="1" a="1"/>
  <c r="I48" i="1" s="1"/>
  <c r="I49" i="1" s="1" a="1"/>
  <c r="I49" i="1" s="1"/>
  <c r="I50" i="1" s="1" a="1"/>
  <c r="I50" i="1" s="1"/>
  <c r="I51" i="1" s="1" a="1"/>
  <c r="I51" i="1" s="1"/>
  <c r="I52" i="1" s="1" a="1"/>
  <c r="I52" i="1" s="1"/>
  <c r="I53" i="1" s="1" a="1"/>
  <c r="I53" i="1" s="1"/>
  <c r="I54" i="1" s="1" a="1"/>
  <c r="I54" i="1" s="1"/>
  <c r="I55" i="1" s="1" a="1"/>
  <c r="I55" i="1" s="1"/>
  <c r="I56" i="1" s="1" a="1"/>
  <c r="I56" i="1" s="1"/>
  <c r="I57" i="1" s="1" a="1"/>
  <c r="I57" i="1" s="1"/>
  <c r="I58" i="1" s="1" a="1"/>
  <c r="I58" i="1" s="1"/>
  <c r="I59" i="1" s="1" a="1"/>
  <c r="I59" i="1" s="1"/>
  <c r="I60" i="1" s="1" a="1"/>
  <c r="I60" i="1" s="1"/>
  <c r="I61" i="1" s="1" a="1"/>
  <c r="I61" i="1" s="1"/>
  <c r="I62" i="1" s="1" a="1"/>
  <c r="I62" i="1" s="1"/>
  <c r="I63" i="1" s="1" a="1"/>
  <c r="I63" i="1" s="1"/>
  <c r="I64" i="1" s="1" a="1"/>
  <c r="I64" i="1" s="1"/>
  <c r="I65" i="1" s="1" a="1"/>
  <c r="I65" i="1" s="1"/>
  <c r="I66" i="1" s="1" a="1"/>
  <c r="I66" i="1" s="1"/>
  <c r="I67" i="1" s="1" a="1"/>
  <c r="I67" i="1" s="1"/>
  <c r="I68" i="1" s="1" a="1"/>
  <c r="I68" i="1" s="1"/>
  <c r="I69" i="1" s="1" a="1"/>
  <c r="I69" i="1" s="1"/>
  <c r="I70" i="1" s="1" a="1"/>
  <c r="I70" i="1" s="1"/>
  <c r="I71" i="1" s="1" a="1"/>
  <c r="I71" i="1" s="1"/>
  <c r="I72" i="1" s="1" a="1"/>
  <c r="I72" i="1" s="1"/>
  <c r="I73" i="1" s="1" a="1"/>
  <c r="I73" i="1" s="1"/>
  <c r="I74" i="1" s="1" a="1"/>
  <c r="I74" i="1" s="1"/>
  <c r="I75" i="1" s="1" a="1"/>
  <c r="I75" i="1" s="1"/>
  <c r="I76" i="1" s="1" a="1"/>
  <c r="I76" i="1" s="1"/>
  <c r="I77" i="1" s="1" a="1"/>
  <c r="I77" i="1" s="1"/>
  <c r="I78" i="1" s="1" a="1"/>
  <c r="I78" i="1" s="1"/>
  <c r="I79" i="1" s="1" a="1"/>
  <c r="I79" i="1" s="1"/>
  <c r="I80" i="1" s="1" a="1"/>
  <c r="I80" i="1" s="1"/>
  <c r="I81" i="1" s="1" a="1"/>
  <c r="I81" i="1" s="1"/>
  <c r="I82" i="1" s="1" a="1"/>
  <c r="I82" i="1" s="1"/>
  <c r="I83" i="1" s="1" a="1"/>
  <c r="I83" i="1" s="1"/>
  <c r="I84" i="1" s="1" a="1"/>
  <c r="I84" i="1" s="1"/>
  <c r="I85" i="1" s="1" a="1"/>
  <c r="I85" i="1" s="1"/>
  <c r="I86" i="1" s="1" a="1"/>
  <c r="I86" i="1" s="1"/>
  <c r="I87" i="1" s="1" a="1"/>
  <c r="I87" i="1" s="1"/>
  <c r="I88" i="1" s="1" a="1"/>
  <c r="I88" i="1" s="1"/>
  <c r="I89" i="1" s="1" a="1"/>
  <c r="I89" i="1" s="1"/>
  <c r="I90" i="1" s="1" a="1"/>
  <c r="I90" i="1" s="1"/>
  <c r="I91" i="1" s="1" a="1"/>
  <c r="I91" i="1" s="1"/>
  <c r="I92" i="1" s="1" a="1"/>
  <c r="I92" i="1" s="1"/>
  <c r="I93" i="1" s="1" a="1"/>
  <c r="I93" i="1" s="1"/>
  <c r="I94" i="1" s="1" a="1"/>
  <c r="I94" i="1" s="1"/>
  <c r="I95" i="1" s="1" a="1"/>
  <c r="I95" i="1" s="1"/>
  <c r="I96" i="1" s="1" a="1"/>
  <c r="I96" i="1" s="1"/>
  <c r="I97" i="1" s="1" a="1"/>
  <c r="I97" i="1" s="1"/>
  <c r="I99" i="1" s="1" a="1"/>
  <c r="I99" i="1" s="1"/>
  <c r="I100" i="1" s="1" a="1"/>
  <c r="I100" i="1" s="1"/>
  <c r="I101" i="1" s="1" a="1"/>
  <c r="I101" i="1" s="1"/>
  <c r="I102" i="1" s="1" a="1"/>
  <c r="I102" i="1" s="1"/>
  <c r="I103" i="1" s="1" a="1"/>
  <c r="I103" i="1" s="1"/>
  <c r="I104" i="1" s="1" a="1"/>
  <c r="I104" i="1" s="1"/>
  <c r="I105" i="1" s="1" a="1"/>
  <c r="I105" i="1" s="1"/>
  <c r="I106" i="1" s="1" a="1"/>
  <c r="I106" i="1" s="1"/>
  <c r="I107" i="1" s="1" a="1"/>
  <c r="I107" i="1" s="1"/>
  <c r="I108" i="1" s="1" a="1"/>
  <c r="I108" i="1" s="1"/>
  <c r="I109" i="1" s="1" a="1"/>
  <c r="I109" i="1" s="1"/>
  <c r="I110" i="1" s="1" a="1"/>
  <c r="I110" i="1" s="1"/>
  <c r="I111" i="1" s="1" a="1"/>
  <c r="I111" i="1" s="1"/>
  <c r="I112" i="1" s="1" a="1"/>
  <c r="I112" i="1" s="1"/>
  <c r="I113" i="1" s="1" a="1"/>
  <c r="I113" i="1" s="1"/>
  <c r="I114" i="1" s="1" a="1"/>
  <c r="I114" i="1" s="1"/>
  <c r="I115" i="1" s="1" a="1"/>
  <c r="I115" i="1" s="1"/>
  <c r="I116" i="1" s="1" a="1"/>
  <c r="I116" i="1" s="1"/>
  <c r="I117" i="1" s="1" a="1"/>
  <c r="I117" i="1" s="1"/>
  <c r="I118" i="1" s="1" a="1"/>
  <c r="I118" i="1" s="1"/>
  <c r="I119" i="1" s="1" a="1"/>
  <c r="I119" i="1" s="1"/>
  <c r="I120" i="1" s="1" a="1"/>
  <c r="I120" i="1" s="1"/>
  <c r="I121" i="1" s="1" a="1"/>
  <c r="I121" i="1" s="1"/>
  <c r="I122" i="1" s="1" a="1"/>
  <c r="I122" i="1" s="1"/>
  <c r="I123" i="1" s="1" a="1"/>
  <c r="I123" i="1" s="1"/>
  <c r="I124" i="1" s="1" a="1"/>
  <c r="I124" i="1" s="1"/>
  <c r="I125" i="1" s="1" a="1"/>
  <c r="I125" i="1" s="1"/>
  <c r="I126" i="1" s="1" a="1"/>
  <c r="I126" i="1" s="1"/>
  <c r="I127" i="1" s="1" a="1"/>
  <c r="I127" i="1" s="1"/>
  <c r="I128" i="1" s="1" a="1"/>
  <c r="I128" i="1" s="1"/>
  <c r="I129" i="1" s="1" a="1"/>
  <c r="I129" i="1" s="1"/>
  <c r="I130" i="1" s="1" a="1"/>
  <c r="I130" i="1" s="1"/>
  <c r="I131" i="1" s="1" a="1"/>
  <c r="I131" i="1" s="1"/>
  <c r="I132" i="1" s="1" a="1"/>
  <c r="I132" i="1" s="1"/>
  <c r="I133" i="1" s="1" a="1"/>
  <c r="I133" i="1" s="1"/>
  <c r="I134" i="1" s="1" a="1"/>
  <c r="I134" i="1" s="1"/>
  <c r="J21" i="1"/>
  <c r="I136" i="1" l="1" a="1"/>
  <c r="I136" i="1" s="1"/>
  <c r="I135" i="1" a="1"/>
  <c r="I135" i="1" s="1"/>
  <c r="I137" i="1" l="1" a="1"/>
  <c r="I137" i="1" s="1"/>
  <c r="I138" i="1" s="1" a="1"/>
  <c r="I138" i="1" s="1"/>
  <c r="I139" i="1" s="1" a="1"/>
  <c r="I139" i="1" s="1"/>
  <c r="I140" i="1" s="1" a="1"/>
  <c r="I140" i="1" s="1"/>
  <c r="I142" i="1" l="1" a="1"/>
  <c r="I142" i="1" s="1"/>
  <c r="I141" i="1" a="1"/>
  <c r="I141" i="1" s="1"/>
  <c r="I143" i="1" l="1" a="1"/>
  <c r="I143" i="1" s="1"/>
  <c r="I144" i="1" s="1" a="1"/>
  <c r="I144" i="1" s="1"/>
  <c r="I145" i="1" s="1" a="1"/>
  <c r="I145" i="1" s="1"/>
  <c r="I146" i="1" s="1" a="1"/>
  <c r="I146" i="1" s="1"/>
  <c r="I147" i="1" s="1" a="1"/>
  <c r="I147" i="1" s="1"/>
  <c r="I148" i="1" s="1" a="1"/>
  <c r="I148" i="1" s="1"/>
  <c r="I149" i="1" s="1" a="1"/>
  <c r="I149" i="1" s="1"/>
  <c r="I150" i="1" s="1" a="1"/>
  <c r="I150" i="1" s="1"/>
  <c r="I151" i="1" s="1" a="1"/>
  <c r="I151" i="1" s="1"/>
  <c r="I152" i="1" s="1" a="1"/>
  <c r="I152" i="1" s="1"/>
  <c r="I153" i="1" s="1" a="1"/>
  <c r="I153" i="1" s="1"/>
  <c r="I154" i="1" s="1" a="1"/>
  <c r="I154" i="1" s="1"/>
  <c r="I155" i="1" s="1" a="1"/>
  <c r="I155" i="1" s="1"/>
  <c r="I156" i="1" s="1" a="1"/>
  <c r="I156" i="1" s="1"/>
  <c r="I157" i="1" s="1" a="1"/>
  <c r="I157" i="1" s="1"/>
  <c r="I158" i="1" s="1" a="1"/>
  <c r="I158" i="1" s="1"/>
  <c r="I159" i="1" s="1" a="1"/>
  <c r="I159" i="1" s="1"/>
  <c r="I160" i="1" s="1" a="1"/>
  <c r="I1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C2" authorId="0" shapeId="0" xr:uid="{C75710D3-5A90-460C-9B2A-B2294F6075A6}">
      <text>
        <r>
          <rPr>
            <sz val="9"/>
            <color indexed="81"/>
            <rFont val="Segoe UI"/>
            <family val="2"/>
          </rPr>
          <t>Ungerade Woche</t>
        </r>
      </text>
    </comment>
    <comment ref="D2" authorId="0" shapeId="0" xr:uid="{40DE7D5C-B014-4BA5-8FA9-0B1E5669FF5C}">
      <text>
        <r>
          <rPr>
            <sz val="9"/>
            <color indexed="81"/>
            <rFont val="Segoe UI"/>
            <family val="2"/>
          </rPr>
          <t>Gerade Woche</t>
        </r>
      </text>
    </comment>
    <comment ref="E2" authorId="0" shapeId="0" xr:uid="{2A466CCC-7B84-4A07-BA6A-7702EB9ED8C1}">
      <text>
        <r>
          <rPr>
            <sz val="9"/>
            <color indexed="81"/>
            <rFont val="Segoe UI"/>
            <family val="2"/>
          </rPr>
          <t>Ungerade Woche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D0563F72-A162-4CB2-BF23-8D9595C3A3AB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76449C7C-E98F-4144-AA1D-2E9E4DFD14A0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  <comment ref="A14" authorId="0" shapeId="0" xr:uid="{8712C158-AB28-40E8-9A3C-8DDBEA7AC2C7}">
      <text>
        <r>
          <rPr>
            <sz val="9"/>
            <color indexed="81"/>
            <rFont val="Segoe UI"/>
            <family val="2"/>
          </rPr>
          <t>Beginn wöchentliche Leerung</t>
        </r>
      </text>
    </comment>
    <comment ref="A35" authorId="0" shapeId="0" xr:uid="{3AB6A614-1CA0-4D05-AFFE-A3D3034BC116}">
      <text>
        <r>
          <rPr>
            <sz val="9"/>
            <color indexed="81"/>
            <rFont val="Segoe UI"/>
            <family val="2"/>
          </rPr>
          <t>Ende wöchentliche Leerung</t>
        </r>
      </text>
    </comment>
  </commentList>
</comments>
</file>

<file path=xl/sharedStrings.xml><?xml version="1.0" encoding="utf-8"?>
<sst xmlns="http://schemas.openxmlformats.org/spreadsheetml/2006/main" count="549" uniqueCount="219">
  <si>
    <t>Straßenname</t>
  </si>
  <si>
    <t>Gelber Sack
Tour</t>
  </si>
  <si>
    <t>Gutenbergstraße</t>
  </si>
  <si>
    <t>Henleinstraße</t>
  </si>
  <si>
    <t>Münterstraße</t>
  </si>
  <si>
    <t>Zeppelinstraße</t>
  </si>
  <si>
    <t>Adalbert-Stifter-Weg</t>
  </si>
  <si>
    <t>Alte Bräuhausgasse</t>
  </si>
  <si>
    <t>Am Erlberg</t>
  </si>
  <si>
    <t>Am Fischergries</t>
  </si>
  <si>
    <t>Am Galgenhölzl</t>
  </si>
  <si>
    <t>Am Hennigbach</t>
  </si>
  <si>
    <t>Am Kupferschmiedberg</t>
  </si>
  <si>
    <t>Am Postanger</t>
  </si>
  <si>
    <t>Am Rittermannslehen</t>
  </si>
  <si>
    <t>Am Roßacker</t>
  </si>
  <si>
    <t>Am Weiher</t>
  </si>
  <si>
    <t>Am Wiegenberg</t>
  </si>
  <si>
    <t>Am Ziegelstadel</t>
  </si>
  <si>
    <t>An der Bachleiten</t>
  </si>
  <si>
    <t>Anzinger Str.</t>
  </si>
  <si>
    <t>Badhausweg</t>
  </si>
  <si>
    <t>Bahnhofallee</t>
  </si>
  <si>
    <t>Bahnhofstraße</t>
  </si>
  <si>
    <t>Barmbichlerstraße</t>
  </si>
  <si>
    <t>Böhmerwaldstraße</t>
  </si>
  <si>
    <t>Breitensteinweg</t>
  </si>
  <si>
    <t>Breslauer Straße</t>
  </si>
  <si>
    <t>Brünsteinweg</t>
  </si>
  <si>
    <t>Bgm.-Haller-Weg</t>
  </si>
  <si>
    <t>Bgm.-Haas-Weg</t>
  </si>
  <si>
    <t>Bgm.-Strobl-Str.</t>
  </si>
  <si>
    <t>Burgerfeld</t>
  </si>
  <si>
    <t>Carl-Orff-Weg</t>
  </si>
  <si>
    <t>Dianaweg</t>
  </si>
  <si>
    <t>Dr.-Brenner-Straße</t>
  </si>
  <si>
    <t>Dr.-Hartlaub-Ring</t>
  </si>
  <si>
    <t>Drechslergasse</t>
  </si>
  <si>
    <t>Drei Raine</t>
  </si>
  <si>
    <t>Ebersberger Straße</t>
  </si>
  <si>
    <t>Eisvogelweg</t>
  </si>
  <si>
    <t>Emerenz-Meier-Straße</t>
  </si>
  <si>
    <t>Enzensbergerstraße</t>
  </si>
  <si>
    <t>Erdinger Straße</t>
  </si>
  <si>
    <t>Falkenring</t>
  </si>
  <si>
    <t>Feichten</t>
  </si>
  <si>
    <t>Fichtenring</t>
  </si>
  <si>
    <t>Föhrenring</t>
  </si>
  <si>
    <t>Friedhofallee</t>
  </si>
  <si>
    <t>Geigelsteinweg</t>
  </si>
  <si>
    <t>Geltinger Straße</t>
  </si>
  <si>
    <t>Gerh.-Hauptmann-Weg</t>
  </si>
  <si>
    <t>Gerstlacherweg</t>
  </si>
  <si>
    <t>Gigginger Straße</t>
  </si>
  <si>
    <t>Glaslweg</t>
  </si>
  <si>
    <t>Goethering</t>
  </si>
  <si>
    <t>Grafen-v.-Sempt-Str.</t>
  </si>
  <si>
    <t>Graf-Rathold-Weg</t>
  </si>
  <si>
    <t>Graf-Rasso-Weg</t>
  </si>
  <si>
    <t>Graf-Sieghart-Weg</t>
  </si>
  <si>
    <t>Graf-Ulrich-Weg</t>
  </si>
  <si>
    <t>Gräfin-Richlind-Weg</t>
  </si>
  <si>
    <t>Gschmeidmachergasse</t>
  </si>
  <si>
    <t>Habererweg</t>
  </si>
  <si>
    <t>Hafnerweg</t>
  </si>
  <si>
    <t>Hans-Carossa-Weg</t>
  </si>
  <si>
    <t>Hanslmüllerweg</t>
  </si>
  <si>
    <t>Hans-Watzlik-Weg</t>
  </si>
  <si>
    <t>Haus</t>
  </si>
  <si>
    <t>Hauser Weg</t>
  </si>
  <si>
    <t>Hauser Winkel</t>
  </si>
  <si>
    <t>Heilmaierstraße</t>
  </si>
  <si>
    <t>Heribert-Schmid-Weg</t>
  </si>
  <si>
    <t>Herzog-Ludwig-Str.</t>
  </si>
  <si>
    <t>Heubergweg</t>
  </si>
  <si>
    <t>Hochriesweg</t>
  </si>
  <si>
    <t>Hubertusstraße</t>
  </si>
  <si>
    <t>Hugo-Hartung-Weg</t>
  </si>
  <si>
    <t>Im Angerl</t>
  </si>
  <si>
    <t>Im Wiegenfeld</t>
  </si>
  <si>
    <t>Isener Straße</t>
  </si>
  <si>
    <t>Kampenwandweg</t>
  </si>
  <si>
    <t>Karlsbader Straße</t>
  </si>
  <si>
    <t>Kettelerweg</t>
  </si>
  <si>
    <t>Kistlerweg</t>
  </si>
  <si>
    <t>Kolpingweg</t>
  </si>
  <si>
    <t>Königsberger Straße</t>
  </si>
  <si>
    <t>Kranzhornweg</t>
  </si>
  <si>
    <t>Landgerichtsgasse</t>
  </si>
  <si>
    <t>Lilienthalstraße</t>
  </si>
  <si>
    <t>Lindenstraße</t>
  </si>
  <si>
    <t>Lippertstraße</t>
  </si>
  <si>
    <t>Ludwig-Thoma-Straße</t>
  </si>
  <si>
    <t>Maria-Adelberger-Str.</t>
  </si>
  <si>
    <t>Maria-Wagenhäuser-Str.</t>
  </si>
  <si>
    <t>Markgrafenweg</t>
  </si>
  <si>
    <t>Marktplatz (Ebersberger Str.)</t>
  </si>
  <si>
    <t>Martin-Luther-Straße</t>
  </si>
  <si>
    <t>Marzell</t>
  </si>
  <si>
    <t>Maurerweg</t>
  </si>
  <si>
    <t>Melanchthonweg</t>
  </si>
  <si>
    <t>Melbergasse</t>
  </si>
  <si>
    <t>Moosäcker</t>
  </si>
  <si>
    <t>Nagelschmiedgasse</t>
  </si>
  <si>
    <t>Neusatzer Straße</t>
  </si>
  <si>
    <t>Nikolaus-Lenau-Weg</t>
  </si>
  <si>
    <t>Ödenburger Straße</t>
  </si>
  <si>
    <t>Paul-Keller-Weg</t>
  </si>
  <si>
    <t>Paul-Klee-Straße</t>
  </si>
  <si>
    <t>Pfarrer-Hochmaier-Ring</t>
  </si>
  <si>
    <t>Pfarrer-Hueber-Weg</t>
  </si>
  <si>
    <t>Pfarrer-Kressierer-Weg</t>
  </si>
  <si>
    <t>Pfarrer-Ostermayr-Str.</t>
  </si>
  <si>
    <t>Poinger Straße</t>
  </si>
  <si>
    <t>Rabenweg</t>
  </si>
  <si>
    <t>Rechenmachergasse</t>
  </si>
  <si>
    <t>Rektor-Biermaier-Str.</t>
  </si>
  <si>
    <t>Rektor-Haushofer-Str.</t>
  </si>
  <si>
    <t>Richardisweg</t>
  </si>
  <si>
    <t>Rieder Straße</t>
  </si>
  <si>
    <t>Rotkreuzstraße</t>
  </si>
  <si>
    <t>Rotwandweg</t>
  </si>
  <si>
    <t>Sägmühlenweg</t>
  </si>
  <si>
    <t>Schießstättenweg</t>
  </si>
  <si>
    <t>Schloßplatz</t>
  </si>
  <si>
    <t>Schulgasse</t>
  </si>
  <si>
    <t>Schützenstraße</t>
  </si>
  <si>
    <t>Schweigerweg</t>
  </si>
  <si>
    <t>Seifensiedergasse</t>
  </si>
  <si>
    <t>Seilergasse</t>
  </si>
  <si>
    <t>Seywerdweg</t>
  </si>
  <si>
    <t>Spitzingweg</t>
  </si>
  <si>
    <t>Staudhamer Straße</t>
  </si>
  <si>
    <t>Storchenring</t>
  </si>
  <si>
    <t>Textorstraße</t>
  </si>
  <si>
    <t>Trappentreustraße</t>
  </si>
  <si>
    <t>Von-Eichendorff-Str.</t>
  </si>
  <si>
    <t>Von-Kobell-Straße</t>
  </si>
  <si>
    <t>Von-Suttner-Straße</t>
  </si>
  <si>
    <t>Walkstraße</t>
  </si>
  <si>
    <t>Wallbergstraße</t>
  </si>
  <si>
    <t>Webergasse</t>
  </si>
  <si>
    <t>Weißgerberweg</t>
  </si>
  <si>
    <t>Wendelsteinweg</t>
  </si>
  <si>
    <t>Widderweg</t>
  </si>
  <si>
    <t>Wiegenfeldring</t>
  </si>
  <si>
    <t>Wittelsbacherweg</t>
  </si>
  <si>
    <t>Wittenbergstraße</t>
  </si>
  <si>
    <t>Zinngießergasse</t>
  </si>
  <si>
    <t>Zugspitzweg</t>
  </si>
  <si>
    <t>Do</t>
  </si>
  <si>
    <t>Fr</t>
  </si>
  <si>
    <t>Mi</t>
  </si>
  <si>
    <t>-</t>
  </si>
  <si>
    <r>
      <rPr>
        <sz val="10"/>
        <rFont val="Calibri"/>
        <family val="2"/>
        <scheme val="minor"/>
      </rPr>
      <t>Do (Mi)</t>
    </r>
  </si>
  <si>
    <t>Bio</t>
  </si>
  <si>
    <t>#</t>
  </si>
  <si>
    <t>ID</t>
  </si>
  <si>
    <t>Anzahl unterschiedlicher Kombinationen</t>
  </si>
  <si>
    <t>Eindeutige ID's</t>
  </si>
  <si>
    <t>Ungerade Wochen</t>
  </si>
  <si>
    <t>Gerade Wochen</t>
  </si>
  <si>
    <t>Jahr</t>
  </si>
  <si>
    <t>gerade Wochen</t>
  </si>
  <si>
    <t>ungerade Wo</t>
  </si>
  <si>
    <t>Tour 3</t>
  </si>
  <si>
    <t>Tour 4</t>
  </si>
  <si>
    <t>Wochen</t>
  </si>
  <si>
    <t>Von</t>
  </si>
  <si>
    <t>Nach</t>
  </si>
  <si>
    <t>Daten (unkorrigiert)</t>
  </si>
  <si>
    <t>Daten (korrigiert)</t>
  </si>
  <si>
    <t>Höhenrainerweg (1-21)</t>
  </si>
  <si>
    <t>Höhenrainerweg (26-57)</t>
  </si>
  <si>
    <t>Färbergasse (1-15)</t>
  </si>
  <si>
    <t>Färbergasse (16-32)</t>
  </si>
  <si>
    <t>ical link</t>
  </si>
  <si>
    <t>Rest</t>
  </si>
  <si>
    <t>Mi (1/u)</t>
  </si>
  <si>
    <t>Mi (2/u)</t>
  </si>
  <si>
    <t>Do (2/u)</t>
  </si>
  <si>
    <t>Fr (2/u)</t>
  </si>
  <si>
    <t>Mi (1/k)</t>
  </si>
  <si>
    <t>Mi (2/k)</t>
  </si>
  <si>
    <t>Do (2/k)</t>
  </si>
  <si>
    <t>Fr (2/k)</t>
  </si>
  <si>
    <t>Anzahl ein- deutiger ID's</t>
  </si>
  <si>
    <t>Do (1/u)</t>
  </si>
  <si>
    <t>Fr (1/u)</t>
  </si>
  <si>
    <t>Do (1/k)</t>
  </si>
  <si>
    <t>Fr (1/k)</t>
  </si>
  <si>
    <t>Tour 1</t>
  </si>
  <si>
    <t>Tour 2</t>
  </si>
  <si>
    <t>Ical Link (Mankei)</t>
  </si>
  <si>
    <t>Straße(n)</t>
  </si>
  <si>
    <t>Loderergasse (2-12, 15, 17)</t>
  </si>
  <si>
    <t>Loderergasse (14, 16, 18-30)</t>
  </si>
  <si>
    <t>Frühjahr</t>
  </si>
  <si>
    <t>Herbst</t>
  </si>
  <si>
    <t>Gartenabfallsammlungen</t>
  </si>
  <si>
    <t>Finsinger Straße (gerade Hs.Nr. ohne 2)</t>
  </si>
  <si>
    <t>Finsinger Straße (ungerade Hs.Nr. mit 2)</t>
  </si>
  <si>
    <t>Schwabner Au</t>
  </si>
  <si>
    <t>Staudham</t>
  </si>
  <si>
    <t>Burgerfeld, Gutenbergstraße, Henleinstraße, Münterstraße, Paul-Klee-Straße, Zeppelinstraße</t>
  </si>
  <si>
    <t>Am Erlberg, An der Bachleiten, Badhausweg, Böhmerwaldstraße, Breslauer Straße, Karlsbader Straße, Neusatzer Straße, Ödenburger Straße</t>
  </si>
  <si>
    <t>Bgm.-Haller-Weg, Dianaweg, Erdinger Straße, Fichtenring, Föhrenring, Grafen-v.-Sempt-Str., Graf-Rathold-Weg, Graf-Rasso-Weg, Graf-Sieghart-Weg, Graf-Ulrich-Weg, Hanslmüllerweg, Haus, Hauser Winkel, Heribert-Schmid-Weg, Hubertusstraße, Isener Straße, Lindenstraße, Loderergasse (14, 16, 18-30), Maria-Wagenhäuser-Str., Markgrafenweg, Moosäcker, Pfarrer-Hochmaier-Ring, Rechenmachergasse, Richardisweg, Sägmühlenweg, Schießstättenweg, Schützenstraße, Walkstraße, Webergasse</t>
  </si>
  <si>
    <t>Anzinger Str., Geigelsteinweg, Heubergweg, Hochriesweg, Höhenrainerweg (26-57), Kampenwandweg, Kranzhornweg, Rieder Straße, Spitzingweg, Wendelsteinweg, Zugspitzweg</t>
  </si>
  <si>
    <t>Alte Bräuhausgasse, Färbergasse (1-15), Gerstlacherweg, Gschmeidmachergasse, Schulgasse</t>
  </si>
  <si>
    <t>Schwabner Au, Staudham</t>
  </si>
  <si>
    <t>Am Wiegenberg, Breitensteinweg, Brünsteinweg, Drei Raine, Glaslweg, Habererweg, Hafnerweg, Höhenrainerweg (1-21), Kettelerweg, Kolpingweg, Königsberger Straße, Maria-Adelberger-Str., Maurerweg, Rektor-Haushofer-Str., Seilergasse, Wallbergstraße, Wittelsbacherweg</t>
  </si>
  <si>
    <t>Am Fischergries, Hauser Weg, Martin-Luther-Straße, Melanchthonweg, Textorstraße, Wittenbergstraße</t>
  </si>
  <si>
    <t>Am Roßacker, Feichten, Finsinger Straße (gerade Hs.Nr. ohne 2), Gerh.-Hauptmann-Weg, Goethering, Hugo-Hartung-Weg, Nikolaus-Lenau-Weg, Paul-Keller-Weg, Staudhamer Straße, Von-Eichendorff-Str.</t>
  </si>
  <si>
    <t>Adalbert-Stifter-Weg, Bgm.-Strobl-Str., Carl-Orff-Weg, Eisvogelweg, Emerenz-Meier-Straße, Enzensbergerstraße, Falkenring, Finsinger Straße (ungerade Hs.Nr. mit 2), Hans-Carossa-Weg, Hans-Watzlik-Weg, Ludwig-Thoma-Straße, Rabenweg, Storchenring, Von-Kobell-Straße, Von-Suttner-Straße</t>
  </si>
  <si>
    <t>Am Weiher, Am Ziegelstadel, Geltinger Straße, Im Wiegenfeld, Lilienthalstraße, Marzell, Poinger Straße, Wiegenfeldring</t>
  </si>
  <si>
    <t>Marktplatz (Ebersberger Str.), Rektor-Biermaier-Str.</t>
  </si>
  <si>
    <t>Drechslergasse, Ebersberger Straße, Färbergasse (16-32), Loderergasse (2-12, 15, 17), Melbergasse, Pfarrer-Hueber-Weg, Pfarrer-Kressierer-Weg, Zinngießergasse</t>
  </si>
  <si>
    <t>Am Hennigbach, Am Rittermannslehen, Bahnhofallee, Bahnhofstraße, Barmbichlerstraße, Dr.-Brenner-Straße, Dr.-Hartlaub-Ring, Heilmaierstraße, Herzog-Ludwig-Str., Im Angerl, Kistlerweg, Landgerichtsgasse, Lippertstraße, Nagelschmiedgasse, Pfarrer-Ostermayr-Str., Rotkreuzstraße, Schloßplatz, Schweigerweg, Seifensiedergasse, Seywerdweg, Trappentreustraße, Weißgerberweg, Widderweg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</si>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</sst>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rgb="FF000000"/>
      <name val="Times New Roman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2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5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3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5" borderId="8" xfId="0" applyFont="1" applyFill="1" applyBorder="1" applyAlignment="1">
      <alignment horizontal="center" wrapText="1"/>
    </xf>
    <xf numFmtId="19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top" wrapText="1"/>
    </xf>
    <xf numFmtId="0" fontId="11" fillId="4" borderId="4" xfId="1" applyFont="1" applyFill="1" applyBorder="1" applyAlignment="1">
      <alignment horizontal="center" vertical="top" wrapText="1"/>
    </xf>
    <xf numFmtId="0" fontId="0" fillId="0" borderId="1" xfId="0" applyBorder="1"/>
    <xf numFmtId="0" fontId="10" fillId="0" borderId="1" xfId="2" applyBorder="1"/>
    <xf numFmtId="0" fontId="0" fillId="0" borderId="1" xfId="0" applyBorder="1" applyAlignment="1">
      <alignment vertical="top" wrapText="1"/>
    </xf>
    <xf numFmtId="0" fontId="3" fillId="3" borderId="1" xfId="0" applyFont="1" applyFill="1" applyBorder="1"/>
    <xf numFmtId="0" fontId="12" fillId="0" borderId="0" xfId="0" applyFont="1"/>
    <xf numFmtId="0" fontId="12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12" fillId="4" borderId="0" xfId="0" applyNumberFormat="1" applyFont="1" applyFill="1" applyAlignment="1">
      <alignment horizontal="center"/>
    </xf>
    <xf numFmtId="0" fontId="0" fillId="6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10" fillId="0" borderId="1" xfId="2" applyBorder="1" applyAlignment="1">
      <alignment vertical="top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0" fillId="4" borderId="1" xfId="0" applyFill="1" applyBorder="1" applyAlignment="1">
      <alignment horizontal="center" wrapText="1"/>
    </xf>
    <xf numFmtId="0" fontId="7" fillId="4" borderId="2" xfId="1" applyFont="1" applyFill="1" applyBorder="1" applyAlignment="1">
      <alignment horizontal="left" wrapText="1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center" vertical="top" wrapText="1"/>
    </xf>
    <xf numFmtId="0" fontId="7" fillId="4" borderId="6" xfId="1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center" wrapText="1"/>
    </xf>
    <xf numFmtId="0" fontId="7" fillId="4" borderId="2" xfId="1" applyFont="1" applyFill="1" applyBorder="1" applyAlignment="1">
      <alignment horizontal="center" wrapText="1"/>
    </xf>
    <xf numFmtId="0" fontId="7" fillId="4" borderId="4" xfId="1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3" fillId="8" borderId="1" xfId="0" applyFont="1" applyFill="1" applyBorder="1" applyAlignment="1">
      <alignment horizontal="left" vertical="top"/>
    </xf>
    <xf numFmtId="0" fontId="0" fillId="0" borderId="7" xfId="0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3">
    <cellStyle name="Link" xfId="2" builtinId="8"/>
    <cellStyle name="Standard" xfId="0" builtinId="0"/>
    <cellStyle name="Standard 2" xfId="1" xr:uid="{6713FA8F-0E9D-43F7-B6C3-D5FDA1B78854}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1005840</xdr:colOff>
      <xdr:row>0</xdr:row>
      <xdr:rowOff>68580</xdr:rowOff>
    </xdr:from>
    <xdr:to>
      <xdr:col>11</xdr:col>
      <xdr:colOff>2651760</xdr:colOff>
      <xdr:row>1</xdr:row>
      <xdr:rowOff>114300</xdr:rowOff>
    </xdr:to>
    <xdr:sp macro="[0]!Export_Data" textlink="">
      <xdr:nvSpPr>
        <xdr:cNvPr id="2" name="Textfeld 1">
          <a:extLst>
            <a:ext uri="{FF2B5EF4-FFF2-40B4-BE49-F238E27FC236}">
              <a16:creationId xmlns:a16="http://schemas.microsoft.com/office/drawing/2014/main" id="{15448528-AFE5-45D6-ACC0-FC14D1F99FCE}"/>
            </a:ext>
          </a:extLst>
        </xdr:cNvPr>
        <xdr:cNvSpPr txBox="1"/>
      </xdr:nvSpPr>
      <xdr:spPr>
        <a:xfrm>
          <a:off x="9250680" y="68580"/>
          <a:ext cx="1645920" cy="2286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0</xdr:row>
      <xdr:rowOff>45720</xdr:rowOff>
    </xdr:from>
    <xdr:to>
      <xdr:col>11</xdr:col>
      <xdr:colOff>441960</xdr:colOff>
      <xdr:row>2</xdr:row>
      <xdr:rowOff>129540</xdr:rowOff>
    </xdr:to>
    <xdr:sp macro="[0]!Korrektur_Restmuell" textlink="">
      <xdr:nvSpPr>
        <xdr:cNvPr id="2" name="Textfeld 1">
          <a:extLst>
            <a:ext uri="{FF2B5EF4-FFF2-40B4-BE49-F238E27FC236}">
              <a16:creationId xmlns:a16="http://schemas.microsoft.com/office/drawing/2014/main" id="{4310DFED-9225-4E63-99E1-DDA6CA82AAE0}"/>
            </a:ext>
          </a:extLst>
        </xdr:cNvPr>
        <xdr:cNvSpPr txBox="1"/>
      </xdr:nvSpPr>
      <xdr:spPr>
        <a:xfrm>
          <a:off x="8176260" y="45720"/>
          <a:ext cx="1165860" cy="44958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11</xdr:col>
      <xdr:colOff>533400</xdr:colOff>
      <xdr:row>0</xdr:row>
      <xdr:rowOff>45720</xdr:rowOff>
    </xdr:from>
    <xdr:to>
      <xdr:col>13</xdr:col>
      <xdr:colOff>114300</xdr:colOff>
      <xdr:row>2</xdr:row>
      <xdr:rowOff>121920</xdr:rowOff>
    </xdr:to>
    <xdr:sp macro="[0]!Reset_Restmuell" textlink="">
      <xdr:nvSpPr>
        <xdr:cNvPr id="3" name="Textfeld 2">
          <a:extLst>
            <a:ext uri="{FF2B5EF4-FFF2-40B4-BE49-F238E27FC236}">
              <a16:creationId xmlns:a16="http://schemas.microsoft.com/office/drawing/2014/main" id="{71731EA7-9229-44D6-84DC-75C9365A185D}"/>
            </a:ext>
          </a:extLst>
        </xdr:cNvPr>
        <xdr:cNvSpPr txBox="1"/>
      </xdr:nvSpPr>
      <xdr:spPr>
        <a:xfrm>
          <a:off x="9433560" y="45720"/>
          <a:ext cx="1165860" cy="4419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0</xdr:row>
      <xdr:rowOff>60960</xdr:rowOff>
    </xdr:from>
    <xdr:to>
      <xdr:col>8</xdr:col>
      <xdr:colOff>441960</xdr:colOff>
      <xdr:row>2</xdr:row>
      <xdr:rowOff>129540</xdr:rowOff>
    </xdr:to>
    <xdr:sp macro="[0]!Korrektur_Biomüll" textlink="">
      <xdr:nvSpPr>
        <xdr:cNvPr id="2" name="Textfeld 1">
          <a:extLst>
            <a:ext uri="{FF2B5EF4-FFF2-40B4-BE49-F238E27FC236}">
              <a16:creationId xmlns:a16="http://schemas.microsoft.com/office/drawing/2014/main" id="{F4CA7622-6E36-49A9-A37C-452790FABA4E}"/>
            </a:ext>
          </a:extLst>
        </xdr:cNvPr>
        <xdr:cNvSpPr txBox="1"/>
      </xdr:nvSpPr>
      <xdr:spPr>
        <a:xfrm>
          <a:off x="5684520" y="60960"/>
          <a:ext cx="116586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8</xdr:col>
      <xdr:colOff>518160</xdr:colOff>
      <xdr:row>0</xdr:row>
      <xdr:rowOff>60960</xdr:rowOff>
    </xdr:from>
    <xdr:to>
      <xdr:col>10</xdr:col>
      <xdr:colOff>91440</xdr:colOff>
      <xdr:row>2</xdr:row>
      <xdr:rowOff>129540</xdr:rowOff>
    </xdr:to>
    <xdr:sp macro="[0]!Reset_Biomüll" textlink="">
      <xdr:nvSpPr>
        <xdr:cNvPr id="4" name="Textfeld 3">
          <a:extLst>
            <a:ext uri="{FF2B5EF4-FFF2-40B4-BE49-F238E27FC236}">
              <a16:creationId xmlns:a16="http://schemas.microsoft.com/office/drawing/2014/main" id="{64419938-E3F4-401B-8D7B-EC89B476EE3C}"/>
            </a:ext>
          </a:extLst>
        </xdr:cNvPr>
        <xdr:cNvSpPr txBox="1"/>
      </xdr:nvSpPr>
      <xdr:spPr>
        <a:xfrm>
          <a:off x="6926580" y="60960"/>
          <a:ext cx="115824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mankei.eu/abfallkalender/index.php?caldb_id=1301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E5A7-C0B1-4254-949D-4EDF6FC82C0C}">
  <sheetPr codeName="Tabelle6"/>
  <dimension ref="A1:B1"/>
  <sheetViews>
    <sheetView workbookViewId="0">
      <selection activeCell="B1" sqref="B1"/>
    </sheetView>
  </sheetViews>
  <sheetFormatPr baseColWidth="10" defaultRowHeight="14.4" x14ac:dyDescent="0.3"/>
  <cols>
    <col min="1" max="1" width="21.6640625" style="37" customWidth="1"/>
    <col min="2" max="2" width="22.88671875" style="1" customWidth="1"/>
  </cols>
  <sheetData>
    <row r="1" spans="1:2" s="35" customFormat="1" ht="36.6" x14ac:dyDescent="0.7">
      <c r="A1" s="36" t="s">
        <v>162</v>
      </c>
      <c r="B1" s="38">
        <v>2026</v>
      </c>
    </row>
  </sheetData>
  <dataValidations count="1">
    <dataValidation type="whole" allowBlank="1" showInputMessage="1" showErrorMessage="1" sqref="B1" xr:uid="{5DDC26A0-57CB-4305-B8C1-90E0787B19CC}">
      <formula1>2021</formula1>
      <formula2>2030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8B9C-220C-4393-928B-3576A903721B}">
  <sheetPr codeName="Tabelle1"/>
  <dimension ref="A1:L165"/>
  <sheetViews>
    <sheetView tabSelected="1" workbookViewId="0">
      <pane ySplit="2" topLeftCell="A3" activePane="bottomLeft" state="frozen"/>
      <selection pane="bottomLeft" activeCell="M12" sqref="M12"/>
    </sheetView>
  </sheetViews>
  <sheetFormatPr baseColWidth="10" defaultRowHeight="14.4" x14ac:dyDescent="0.3"/>
  <cols>
    <col min="1" max="1" width="4.6640625" style="1" customWidth="1"/>
    <col min="2" max="2" width="33.33203125" style="3" customWidth="1"/>
    <col min="3" max="5" width="6.6640625" customWidth="1"/>
    <col min="6" max="6" width="11.5546875" style="1"/>
    <col min="7" max="7" width="9.109375" style="1" customWidth="1"/>
    <col min="8" max="8" width="5.6640625" style="1" customWidth="1"/>
    <col min="9" max="9" width="10.109375" style="1" customWidth="1"/>
    <col min="10" max="10" width="11.109375" style="1" customWidth="1"/>
    <col min="11" max="11" width="4" style="1" customWidth="1"/>
    <col min="12" max="12" width="62.88671875" customWidth="1"/>
  </cols>
  <sheetData>
    <row r="1" spans="1:12" ht="14.4" customHeight="1" x14ac:dyDescent="0.3">
      <c r="A1" s="52" t="s">
        <v>156</v>
      </c>
      <c r="B1" s="47" t="s">
        <v>0</v>
      </c>
      <c r="C1" s="49" t="s">
        <v>177</v>
      </c>
      <c r="D1" s="50"/>
      <c r="E1" s="28" t="s">
        <v>155</v>
      </c>
      <c r="F1" s="51" t="s">
        <v>1</v>
      </c>
      <c r="G1" s="52" t="s">
        <v>157</v>
      </c>
      <c r="H1" s="54"/>
      <c r="I1" s="46" t="s">
        <v>159</v>
      </c>
      <c r="J1" s="46" t="s">
        <v>186</v>
      </c>
      <c r="K1" s="43"/>
      <c r="L1" s="44" t="s">
        <v>176</v>
      </c>
    </row>
    <row r="2" spans="1:12" ht="15" customHeight="1" x14ac:dyDescent="0.3">
      <c r="A2" s="53"/>
      <c r="B2" s="48"/>
      <c r="C2" s="29">
        <v>1</v>
      </c>
      <c r="D2" s="30">
        <v>2</v>
      </c>
      <c r="E2" s="29">
        <v>1</v>
      </c>
      <c r="F2" s="51"/>
      <c r="G2" s="53"/>
      <c r="H2" s="54"/>
      <c r="I2" s="46"/>
      <c r="J2" s="46"/>
      <c r="K2" s="43"/>
      <c r="L2" s="44"/>
    </row>
    <row r="3" spans="1:12" x14ac:dyDescent="0.3">
      <c r="A3" s="2">
        <v>1</v>
      </c>
      <c r="B3" s="5" t="s">
        <v>6</v>
      </c>
      <c r="C3" s="6"/>
      <c r="D3" s="7" t="s">
        <v>150</v>
      </c>
      <c r="E3" s="7" t="s">
        <v>150</v>
      </c>
      <c r="F3" s="4">
        <v>3</v>
      </c>
      <c r="G3" s="2">
        <f>IFERROR(MATCH(C3,{"Mo";"Di";"Mi";"Do";"Fr"},0),0)^1+1*IFERROR(MATCH(D3,{"Mo";"Di";"Mi";"Do";"Fr"},0),0)^2+2*IFERROR(MATCH(E3,{"Mo";"Di";"Mi";"Do";"Fr"},0),0)^3+3*F3^4+4</f>
        <v>391</v>
      </c>
      <c r="I3" s="2">
        <f t="array" ref="I3">INDEX($G$3:$G$160,MATCH(0,COUNTIF(I$1:$I1,$G$3:$G$160),0))</f>
        <v>391</v>
      </c>
      <c r="J3" s="2">
        <f t="shared" ref="J3:J21" si="0">COUNTIF($G$3:$G$160,I3)</f>
        <v>15</v>
      </c>
      <c r="K3" s="2"/>
      <c r="L3" s="32"/>
    </row>
    <row r="4" spans="1:12" x14ac:dyDescent="0.3">
      <c r="A4" s="2">
        <v>2</v>
      </c>
      <c r="B4" s="5" t="s">
        <v>7</v>
      </c>
      <c r="C4" s="6"/>
      <c r="D4" s="7" t="s">
        <v>150</v>
      </c>
      <c r="E4" s="7" t="s">
        <v>150</v>
      </c>
      <c r="F4" s="4">
        <v>1</v>
      </c>
      <c r="G4" s="2">
        <f>IFERROR(MATCH(C4,{"Mo";"Di";"Mi";"Do";"Fr"},0),0)^1+1*IFERROR(MATCH(D4,{"Mo";"Di";"Mi";"Do";"Fr"},0),0)^2+2*IFERROR(MATCH(E4,{"Mo";"Di";"Mi";"Do";"Fr"},0),0)^3+3*F4^4+4</f>
        <v>151</v>
      </c>
      <c r="I4" s="2">
        <f t="array" ref="I4">INDEX($G$3:$G$160,MATCH(0,COUNTIF(I$1:$I3,$G$3:$G$160),0))</f>
        <v>151</v>
      </c>
      <c r="J4" s="2">
        <f t="shared" si="0"/>
        <v>5</v>
      </c>
      <c r="K4" s="2"/>
      <c r="L4" s="32"/>
    </row>
    <row r="5" spans="1:12" x14ac:dyDescent="0.3">
      <c r="A5" s="2">
        <v>3</v>
      </c>
      <c r="B5" s="5" t="s">
        <v>8</v>
      </c>
      <c r="C5" s="6"/>
      <c r="D5" s="7" t="s">
        <v>151</v>
      </c>
      <c r="E5" s="7" t="s">
        <v>151</v>
      </c>
      <c r="F5" s="4">
        <v>4</v>
      </c>
      <c r="G5" s="2">
        <f>IFERROR(MATCH(C5,{"Mo";"Di";"Mi";"Do";"Fr"},0),0)^1+1*IFERROR(MATCH(D5,{"Mo";"Di";"Mi";"Do";"Fr"},0),0)^2+2*IFERROR(MATCH(E5,{"Mo";"Di";"Mi";"Do";"Fr"},0),0)^3+3*F5^4+4</f>
        <v>1047</v>
      </c>
      <c r="I5" s="2">
        <f t="array" ref="I5">INDEX($G$3:$G$160,MATCH(0,COUNTIF(I$1:$I4,$G$3:$G$160),0))</f>
        <v>1047</v>
      </c>
      <c r="J5" s="2">
        <f t="shared" si="0"/>
        <v>8</v>
      </c>
      <c r="K5" s="2"/>
      <c r="L5" s="32"/>
    </row>
    <row r="6" spans="1:12" x14ac:dyDescent="0.3">
      <c r="A6" s="2">
        <v>4</v>
      </c>
      <c r="B6" s="5" t="s">
        <v>9</v>
      </c>
      <c r="C6" s="7" t="s">
        <v>152</v>
      </c>
      <c r="D6" s="6"/>
      <c r="E6" s="7" t="s">
        <v>151</v>
      </c>
      <c r="F6" s="4">
        <v>2</v>
      </c>
      <c r="G6" s="2">
        <f>IFERROR(MATCH(C6,{"Mo";"Di";"Mi";"Do";"Fr"},0),0)^1+1*IFERROR(MATCH(D6,{"Mo";"Di";"Mi";"Do";"Fr"},0),0)^2+2*IFERROR(MATCH(E6,{"Mo";"Di";"Mi";"Do";"Fr"},0),0)^3+3*F6^4+4</f>
        <v>305</v>
      </c>
      <c r="I6" s="2">
        <f t="array" ref="I6">INDEX($G$3:$G$160,MATCH(0,COUNTIF(I$1:$I5,$G$3:$G$160),0))</f>
        <v>305</v>
      </c>
      <c r="J6" s="2">
        <f t="shared" si="0"/>
        <v>6</v>
      </c>
      <c r="K6" s="2"/>
      <c r="L6" s="32"/>
    </row>
    <row r="7" spans="1:12" x14ac:dyDescent="0.3">
      <c r="A7" s="2">
        <v>5</v>
      </c>
      <c r="B7" s="5" t="s">
        <v>10</v>
      </c>
      <c r="C7" s="7" t="s">
        <v>153</v>
      </c>
      <c r="D7" s="7" t="s">
        <v>153</v>
      </c>
      <c r="E7" s="7" t="s">
        <v>153</v>
      </c>
      <c r="F7" s="4"/>
      <c r="G7" s="2">
        <f>IFERROR(MATCH(C7,{"Mo";"Di";"Mi";"Do";"Fr"},0),0)^1+1*IFERROR(MATCH(D7,{"Mo";"Di";"Mi";"Do";"Fr"},0),0)^2+2*IFERROR(MATCH(E7,{"Mo";"Di";"Mi";"Do";"Fr"},0),0)^3+3*F7^4+4</f>
        <v>4</v>
      </c>
      <c r="I7" s="2">
        <f t="array" ref="I7">INDEX($G$3:$G$160,MATCH(0,COUNTIF(I$1:$I6,$G$3:$G$160),0))</f>
        <v>4</v>
      </c>
      <c r="J7" s="2">
        <f t="shared" si="0"/>
        <v>3</v>
      </c>
      <c r="K7" s="2"/>
      <c r="L7" s="31"/>
    </row>
    <row r="8" spans="1:12" x14ac:dyDescent="0.3">
      <c r="A8" s="2">
        <v>6</v>
      </c>
      <c r="B8" s="5" t="s">
        <v>11</v>
      </c>
      <c r="C8" s="6"/>
      <c r="D8" s="7" t="s">
        <v>150</v>
      </c>
      <c r="E8" s="7" t="s">
        <v>150</v>
      </c>
      <c r="F8" s="4">
        <v>4</v>
      </c>
      <c r="G8" s="2">
        <f>IFERROR(MATCH(C8,{"Mo";"Di";"Mi";"Do";"Fr"},0),0)^1+1*IFERROR(MATCH(D8,{"Mo";"Di";"Mi";"Do";"Fr"},0),0)^2+2*IFERROR(MATCH(E8,{"Mo";"Di";"Mi";"Do";"Fr"},0),0)^3+3*F8^4+4</f>
        <v>916</v>
      </c>
      <c r="I8" s="2">
        <f t="array" ref="I8">INDEX($G$3:$G$160,MATCH(0,COUNTIF(I$1:$I7,$G$3:$G$160),0))</f>
        <v>916</v>
      </c>
      <c r="J8" s="2">
        <f t="shared" si="0"/>
        <v>23</v>
      </c>
      <c r="K8" s="2"/>
      <c r="L8" s="32"/>
    </row>
    <row r="9" spans="1:12" x14ac:dyDescent="0.3">
      <c r="A9" s="2">
        <v>7</v>
      </c>
      <c r="B9" s="5" t="s">
        <v>12</v>
      </c>
      <c r="C9" s="6"/>
      <c r="D9" s="7" t="s">
        <v>152</v>
      </c>
      <c r="E9" s="7" t="s">
        <v>152</v>
      </c>
      <c r="F9" s="4">
        <v>4</v>
      </c>
      <c r="G9" s="2">
        <f>IFERROR(MATCH(C9,{"Mo";"Di";"Mi";"Do";"Fr"},0),0)^1+1*IFERROR(MATCH(D9,{"Mo";"Di";"Mi";"Do";"Fr"},0),0)^2+2*IFERROR(MATCH(E9,{"Mo";"Di";"Mi";"Do";"Fr"},0),0)^3+3*F9^4+4</f>
        <v>835</v>
      </c>
      <c r="I9" s="2">
        <f t="array" ref="I9">INDEX($G$3:$G$160,MATCH(0,COUNTIF(I$1:$I8,$G$3:$G$160),0))</f>
        <v>835</v>
      </c>
      <c r="J9" s="2">
        <f t="shared" si="0"/>
        <v>1</v>
      </c>
      <c r="K9" s="2"/>
      <c r="L9" s="32"/>
    </row>
    <row r="10" spans="1:12" x14ac:dyDescent="0.3">
      <c r="A10" s="2">
        <v>8</v>
      </c>
      <c r="B10" s="5" t="s">
        <v>13</v>
      </c>
      <c r="C10" s="6" t="s">
        <v>152</v>
      </c>
      <c r="D10" s="7"/>
      <c r="E10" s="7" t="s">
        <v>152</v>
      </c>
      <c r="F10" s="4">
        <v>4</v>
      </c>
      <c r="G10" s="2">
        <f>IFERROR(MATCH(C10,{"Mo";"Di";"Mi";"Do";"Fr"},0),0)^1+1*IFERROR(MATCH(D10,{"Mo";"Di";"Mi";"Do";"Fr"},0),0)^2+2*IFERROR(MATCH(E10,{"Mo";"Di";"Mi";"Do";"Fr"},0),0)^3+3*F10^4+4</f>
        <v>829</v>
      </c>
      <c r="I10" s="2">
        <f t="array" ref="I10">INDEX($G$3:$G$160,MATCH(0,COUNTIF(I$1:$I9,$G$3:$G$160),0))</f>
        <v>829</v>
      </c>
      <c r="J10" s="2">
        <f t="shared" si="0"/>
        <v>1</v>
      </c>
      <c r="K10" s="2"/>
      <c r="L10" s="32"/>
    </row>
    <row r="11" spans="1:12" x14ac:dyDescent="0.3">
      <c r="A11" s="2">
        <v>9</v>
      </c>
      <c r="B11" s="5" t="s">
        <v>14</v>
      </c>
      <c r="C11" s="6"/>
      <c r="D11" s="7" t="s">
        <v>150</v>
      </c>
      <c r="E11" s="7" t="s">
        <v>150</v>
      </c>
      <c r="F11" s="4">
        <v>4</v>
      </c>
      <c r="G11" s="2">
        <f>IFERROR(MATCH(C11,{"Mo";"Di";"Mi";"Do";"Fr"},0),0)^1+1*IFERROR(MATCH(D11,{"Mo";"Di";"Mi";"Do";"Fr"},0),0)^2+2*IFERROR(MATCH(E11,{"Mo";"Di";"Mi";"Do";"Fr"},0),0)^3+3*F11^4+4</f>
        <v>916</v>
      </c>
      <c r="I11" s="2">
        <f t="array" ref="I11">INDEX($G$3:$G$160,MATCH(0,COUNTIF(I$1:$I10,$G$3:$G$160),0))</f>
        <v>378</v>
      </c>
      <c r="J11" s="2">
        <f t="shared" si="0"/>
        <v>10</v>
      </c>
      <c r="K11" s="2"/>
      <c r="L11" s="32"/>
    </row>
    <row r="12" spans="1:12" x14ac:dyDescent="0.3">
      <c r="A12" s="2">
        <v>10</v>
      </c>
      <c r="B12" s="5" t="s">
        <v>15</v>
      </c>
      <c r="C12" s="7" t="s">
        <v>152</v>
      </c>
      <c r="D12" s="6"/>
      <c r="E12" s="7" t="s">
        <v>150</v>
      </c>
      <c r="F12" s="4">
        <v>3</v>
      </c>
      <c r="G12" s="2">
        <f>IFERROR(MATCH(C12,{"Mo";"Di";"Mi";"Do";"Fr"},0),0)^1+1*IFERROR(MATCH(D12,{"Mo";"Di";"Mi";"Do";"Fr"},0),0)^2+2*IFERROR(MATCH(E12,{"Mo";"Di";"Mi";"Do";"Fr"},0),0)^3+3*F12^4+4</f>
        <v>378</v>
      </c>
      <c r="I12" s="2">
        <f t="array" ref="I12">INDEX($G$3:$G$160,MATCH(0,COUNTIF(I$1:$I11,$G$3:$G$160),0))</f>
        <v>522</v>
      </c>
      <c r="J12" s="2">
        <f t="shared" si="0"/>
        <v>8</v>
      </c>
      <c r="K12" s="2"/>
      <c r="L12" s="32"/>
    </row>
    <row r="13" spans="1:12" x14ac:dyDescent="0.3">
      <c r="A13" s="2">
        <v>11</v>
      </c>
      <c r="B13" s="5" t="s">
        <v>16</v>
      </c>
      <c r="C13" s="6"/>
      <c r="D13" s="7" t="s">
        <v>151</v>
      </c>
      <c r="E13" s="7" t="s">
        <v>151</v>
      </c>
      <c r="F13" s="4">
        <v>3</v>
      </c>
      <c r="G13" s="2">
        <f>IFERROR(MATCH(C13,{"Mo";"Di";"Mi";"Do";"Fr"},0),0)^1+1*IFERROR(MATCH(D13,{"Mo";"Di";"Mi";"Do";"Fr"},0),0)^2+2*IFERROR(MATCH(E13,{"Mo";"Di";"Mi";"Do";"Fr"},0),0)^3+3*F13^4+4</f>
        <v>522</v>
      </c>
      <c r="I13" s="2">
        <f t="array" ref="I13">INDEX($G$3:$G$160,MATCH(0,COUNTIF(I$1:$I12,$G$3:$G$160),0))</f>
        <v>282</v>
      </c>
      <c r="J13" s="2">
        <f t="shared" si="0"/>
        <v>17</v>
      </c>
      <c r="K13" s="2"/>
      <c r="L13" s="32"/>
    </row>
    <row r="14" spans="1:12" x14ac:dyDescent="0.3">
      <c r="A14" s="2">
        <v>12</v>
      </c>
      <c r="B14" s="5" t="s">
        <v>17</v>
      </c>
      <c r="C14" s="6"/>
      <c r="D14" s="7" t="s">
        <v>151</v>
      </c>
      <c r="E14" s="7" t="s">
        <v>151</v>
      </c>
      <c r="F14" s="4">
        <v>1</v>
      </c>
      <c r="G14" s="2">
        <f>IFERROR(MATCH(C14,{"Mo";"Di";"Mi";"Do";"Fr"},0),0)^1+1*IFERROR(MATCH(D14,{"Mo";"Di";"Mi";"Do";"Fr"},0),0)^2+2*IFERROR(MATCH(E14,{"Mo";"Di";"Mi";"Do";"Fr"},0),0)^3+3*F14^4+4</f>
        <v>282</v>
      </c>
      <c r="I14" s="2">
        <f t="array" ref="I14">INDEX($G$3:$G$160,MATCH(0,COUNTIF(I$1:$I13,$G$3:$G$160),0))</f>
        <v>144</v>
      </c>
      <c r="J14" s="2">
        <f t="shared" si="0"/>
        <v>11</v>
      </c>
      <c r="K14" s="2"/>
      <c r="L14" s="32"/>
    </row>
    <row r="15" spans="1:12" x14ac:dyDescent="0.3">
      <c r="A15" s="2">
        <v>13</v>
      </c>
      <c r="B15" s="5" t="s">
        <v>18</v>
      </c>
      <c r="C15" s="6"/>
      <c r="D15" s="7" t="s">
        <v>151</v>
      </c>
      <c r="E15" s="7" t="s">
        <v>151</v>
      </c>
      <c r="F15" s="4">
        <v>3</v>
      </c>
      <c r="G15" s="2">
        <f>IFERROR(MATCH(C15,{"Mo";"Di";"Mi";"Do";"Fr"},0),0)^1+1*IFERROR(MATCH(D15,{"Mo";"Di";"Mi";"Do";"Fr"},0),0)^2+2*IFERROR(MATCH(E15,{"Mo";"Di";"Mi";"Do";"Fr"},0),0)^3+3*F15^4+4</f>
        <v>522</v>
      </c>
      <c r="I15" s="2">
        <f t="array" ref="I15">INDEX($G$3:$G$160,MATCH(0,COUNTIF(I$1:$I14,$G$3:$G$160),0))</f>
        <v>115</v>
      </c>
      <c r="J15" s="2">
        <f t="shared" si="0"/>
        <v>29</v>
      </c>
      <c r="K15" s="2"/>
      <c r="L15" s="32"/>
    </row>
    <row r="16" spans="1:12" x14ac:dyDescent="0.3">
      <c r="A16" s="2">
        <v>14</v>
      </c>
      <c r="B16" s="5" t="s">
        <v>19</v>
      </c>
      <c r="C16" s="6"/>
      <c r="D16" s="7" t="s">
        <v>151</v>
      </c>
      <c r="E16" s="7" t="s">
        <v>151</v>
      </c>
      <c r="F16" s="4">
        <v>4</v>
      </c>
      <c r="G16" s="2">
        <f>IFERROR(MATCH(C16,{"Mo";"Di";"Mi";"Do";"Fr"},0),0)^1+1*IFERROR(MATCH(D16,{"Mo";"Di";"Mi";"Do";"Fr"},0),0)^2+2*IFERROR(MATCH(E16,{"Mo";"Di";"Mi";"Do";"Fr"},0),0)^3+3*F16^4+4</f>
        <v>1047</v>
      </c>
      <c r="I16" s="2">
        <f t="array" ref="I16">INDEX($G$3:$G$160,MATCH(0,COUNTIF(I$1:$I15,$G$3:$G$160),0))</f>
        <v>266</v>
      </c>
      <c r="J16" s="2">
        <f t="shared" si="0"/>
        <v>1</v>
      </c>
      <c r="K16" s="2"/>
      <c r="L16" s="32"/>
    </row>
    <row r="17" spans="1:12" x14ac:dyDescent="0.3">
      <c r="A17" s="2">
        <v>15</v>
      </c>
      <c r="B17" s="5" t="s">
        <v>20</v>
      </c>
      <c r="C17" s="6"/>
      <c r="D17" s="7" t="s">
        <v>152</v>
      </c>
      <c r="E17" s="7" t="s">
        <v>150</v>
      </c>
      <c r="F17" s="4">
        <v>1</v>
      </c>
      <c r="G17" s="2">
        <f>IFERROR(MATCH(C17,{"Mo";"Di";"Mi";"Do";"Fr"},0),0)^1+1*IFERROR(MATCH(D17,{"Mo";"Di";"Mi";"Do";"Fr"},0),0)^2+2*IFERROR(MATCH(E17,{"Mo";"Di";"Mi";"Do";"Fr"},0),0)^3+3*F17^4+4</f>
        <v>144</v>
      </c>
      <c r="I17" s="2">
        <f t="array" ref="I17">INDEX($G$3:$G$160,MATCH(0,COUNTIF(I$1:$I16,$G$3:$G$160),0))</f>
        <v>500</v>
      </c>
      <c r="J17" s="2">
        <f t="shared" si="0"/>
        <v>6</v>
      </c>
      <c r="K17" s="2"/>
      <c r="L17" s="32"/>
    </row>
    <row r="18" spans="1:12" x14ac:dyDescent="0.3">
      <c r="A18" s="2">
        <v>16</v>
      </c>
      <c r="B18" s="5" t="s">
        <v>21</v>
      </c>
      <c r="C18" s="6"/>
      <c r="D18" s="7" t="s">
        <v>151</v>
      </c>
      <c r="E18" s="7" t="s">
        <v>151</v>
      </c>
      <c r="F18" s="4">
        <v>4</v>
      </c>
      <c r="G18" s="2">
        <f>IFERROR(MATCH(C18,{"Mo";"Di";"Mi";"Do";"Fr"},0),0)^1+1*IFERROR(MATCH(D18,{"Mo";"Di";"Mi";"Do";"Fr"},0),0)^2+2*IFERROR(MATCH(E18,{"Mo";"Di";"Mi";"Do";"Fr"},0),0)^3+3*F18^4+4</f>
        <v>1047</v>
      </c>
      <c r="I18" s="2">
        <f t="array" ref="I18">INDEX($G$3:$G$160,MATCH(0,COUNTIF(I$1:$I17,$G$3:$G$160),0))</f>
        <v>70</v>
      </c>
      <c r="J18" s="2">
        <f t="shared" si="0"/>
        <v>8</v>
      </c>
      <c r="K18" s="2"/>
      <c r="L18" s="32"/>
    </row>
    <row r="19" spans="1:12" x14ac:dyDescent="0.3">
      <c r="A19" s="2">
        <v>17</v>
      </c>
      <c r="B19" s="5" t="s">
        <v>22</v>
      </c>
      <c r="C19" s="6"/>
      <c r="D19" s="7" t="s">
        <v>150</v>
      </c>
      <c r="E19" s="7" t="s">
        <v>150</v>
      </c>
      <c r="F19" s="4">
        <v>4</v>
      </c>
      <c r="G19" s="2">
        <f>IFERROR(MATCH(C19,{"Mo";"Di";"Mi";"Do";"Fr"},0),0)^1+1*IFERROR(MATCH(D19,{"Mo";"Di";"Mi";"Do";"Fr"},0),0)^2+2*IFERROR(MATCH(E19,{"Mo";"Di";"Mi";"Do";"Fr"},0),0)^3+3*F19^4+4</f>
        <v>916</v>
      </c>
      <c r="I19" s="2">
        <f t="array" ref="I19">INDEX($G$3:$G$160,MATCH(0,COUNTIF(I$1:$I18,$G$3:$G$160),0))</f>
        <v>279</v>
      </c>
      <c r="J19" s="2">
        <f t="shared" si="0"/>
        <v>1</v>
      </c>
      <c r="K19" s="2"/>
      <c r="L19" s="32"/>
    </row>
    <row r="20" spans="1:12" x14ac:dyDescent="0.3">
      <c r="A20" s="2">
        <v>18</v>
      </c>
      <c r="B20" s="5" t="s">
        <v>23</v>
      </c>
      <c r="C20" s="6"/>
      <c r="D20" s="7" t="s">
        <v>150</v>
      </c>
      <c r="E20" s="7" t="s">
        <v>150</v>
      </c>
      <c r="F20" s="4">
        <v>4</v>
      </c>
      <c r="G20" s="2">
        <f>IFERROR(MATCH(C20,{"Mo";"Di";"Mi";"Do";"Fr"},0),0)^1+1*IFERROR(MATCH(D20,{"Mo";"Di";"Mi";"Do";"Fr"},0),0)^2+2*IFERROR(MATCH(E20,{"Mo";"Di";"Mi";"Do";"Fr"},0),0)^3+3*F20^4+4</f>
        <v>916</v>
      </c>
      <c r="I20" s="2">
        <f t="array" ref="I20">INDEX($G$3:$G$160,MATCH(0,COUNTIF(I$1:$I19,$G$3:$G$160),0))</f>
        <v>311</v>
      </c>
      <c r="J20" s="2">
        <f t="shared" si="0"/>
        <v>1</v>
      </c>
      <c r="K20" s="2"/>
      <c r="L20" s="32"/>
    </row>
    <row r="21" spans="1:12" x14ac:dyDescent="0.3">
      <c r="A21" s="2">
        <v>19</v>
      </c>
      <c r="B21" s="5" t="s">
        <v>24</v>
      </c>
      <c r="C21" s="6"/>
      <c r="D21" s="7" t="s">
        <v>150</v>
      </c>
      <c r="E21" s="7" t="s">
        <v>150</v>
      </c>
      <c r="F21" s="4">
        <v>4</v>
      </c>
      <c r="G21" s="2">
        <f>IFERROR(MATCH(C21,{"Mo";"Di";"Mi";"Do";"Fr"},0),0)^1+1*IFERROR(MATCH(D21,{"Mo";"Di";"Mi";"Do";"Fr"},0),0)^2+2*IFERROR(MATCH(E21,{"Mo";"Di";"Mi";"Do";"Fr"},0),0)^3+3*F21^4+4</f>
        <v>916</v>
      </c>
      <c r="I21" s="2">
        <f t="array" ref="I21">INDEX($G$3:$G$160,MATCH(0,COUNTIF(I$1:$I20,$G$3:$G$160),0))</f>
        <v>7</v>
      </c>
      <c r="J21" s="2">
        <f t="shared" si="0"/>
        <v>2</v>
      </c>
      <c r="K21" s="2"/>
      <c r="L21" s="32"/>
    </row>
    <row r="22" spans="1:12" x14ac:dyDescent="0.3">
      <c r="A22" s="2">
        <v>20</v>
      </c>
      <c r="B22" s="5" t="s">
        <v>25</v>
      </c>
      <c r="C22" s="6"/>
      <c r="D22" s="7" t="s">
        <v>151</v>
      </c>
      <c r="E22" s="7" t="s">
        <v>151</v>
      </c>
      <c r="F22" s="4">
        <v>4</v>
      </c>
      <c r="G22" s="2">
        <f>IFERROR(MATCH(C22,{"Mo";"Di";"Mi";"Do";"Fr"},0),0)^1+1*IFERROR(MATCH(D22,{"Mo";"Di";"Mi";"Do";"Fr"},0),0)^2+2*IFERROR(MATCH(E22,{"Mo";"Di";"Mi";"Do";"Fr"},0),0)^3+3*F22^4+4</f>
        <v>1047</v>
      </c>
      <c r="I22" s="2">
        <f t="array" ref="I22">INDEX($G$3:$G$160,MATCH(0,COUNTIF(I$1:$I21,$G$3:$G$160),0))</f>
        <v>247</v>
      </c>
      <c r="J22" s="2"/>
      <c r="K22" s="2"/>
      <c r="L22" s="31"/>
    </row>
    <row r="23" spans="1:12" x14ac:dyDescent="0.3">
      <c r="A23" s="2">
        <v>21</v>
      </c>
      <c r="B23" s="5" t="s">
        <v>26</v>
      </c>
      <c r="C23" s="6"/>
      <c r="D23" s="7" t="s">
        <v>151</v>
      </c>
      <c r="E23" s="7" t="s">
        <v>151</v>
      </c>
      <c r="F23" s="4">
        <v>1</v>
      </c>
      <c r="G23" s="2">
        <f>IFERROR(MATCH(C23,{"Mo";"Di";"Mi";"Do";"Fr"},0),0)^1+1*IFERROR(MATCH(D23,{"Mo";"Di";"Mi";"Do";"Fr"},0),0)^2+2*IFERROR(MATCH(E23,{"Mo";"Di";"Mi";"Do";"Fr"},0),0)^3+3*F23^4+4</f>
        <v>282</v>
      </c>
      <c r="I23" s="2" t="e">
        <f t="array" ref="I23">INDEX($G$3:$G$160,MATCH(0,COUNTIF(I$1:$I22,$G$3:$G$160),0))</f>
        <v>#N/A</v>
      </c>
      <c r="J23" s="2"/>
      <c r="K23" s="2"/>
      <c r="L23" s="31"/>
    </row>
    <row r="24" spans="1:12" x14ac:dyDescent="0.3">
      <c r="A24" s="2">
        <v>22</v>
      </c>
      <c r="B24" s="5" t="s">
        <v>27</v>
      </c>
      <c r="C24" s="6"/>
      <c r="D24" s="7" t="s">
        <v>151</v>
      </c>
      <c r="E24" s="7" t="s">
        <v>151</v>
      </c>
      <c r="F24" s="4">
        <v>4</v>
      </c>
      <c r="G24" s="2">
        <f>IFERROR(MATCH(C24,{"Mo";"Di";"Mi";"Do";"Fr"},0),0)^1+1*IFERROR(MATCH(D24,{"Mo";"Di";"Mi";"Do";"Fr"},0),0)^2+2*IFERROR(MATCH(E24,{"Mo";"Di";"Mi";"Do";"Fr"},0),0)^3+3*F24^4+4</f>
        <v>1047</v>
      </c>
      <c r="I24" s="2" t="e">
        <f t="array" ref="I24">INDEX($G$3:$G$160,MATCH(0,COUNTIF(I$1:$I23,$G$3:$G$160),0))</f>
        <v>#N/A</v>
      </c>
      <c r="J24" s="2"/>
      <c r="K24" s="2"/>
      <c r="L24" s="31"/>
    </row>
    <row r="25" spans="1:12" x14ac:dyDescent="0.3">
      <c r="A25" s="2">
        <v>23</v>
      </c>
      <c r="B25" s="5" t="s">
        <v>28</v>
      </c>
      <c r="C25" s="6"/>
      <c r="D25" s="7" t="s">
        <v>151</v>
      </c>
      <c r="E25" s="7" t="s">
        <v>151</v>
      </c>
      <c r="F25" s="4">
        <v>1</v>
      </c>
      <c r="G25" s="2">
        <f>IFERROR(MATCH(C25,{"Mo";"Di";"Mi";"Do";"Fr"},0),0)^1+1*IFERROR(MATCH(D25,{"Mo";"Di";"Mi";"Do";"Fr"},0),0)^2+2*IFERROR(MATCH(E25,{"Mo";"Di";"Mi";"Do";"Fr"},0),0)^3+3*F25^4+4</f>
        <v>282</v>
      </c>
      <c r="I25" s="2" t="e">
        <f t="array" ref="I25">INDEX($G$3:$G$160,MATCH(0,COUNTIF(I$1:$I24,$G$3:$G$160),0))</f>
        <v>#N/A</v>
      </c>
      <c r="J25" s="2"/>
      <c r="K25" s="2"/>
      <c r="L25" s="31"/>
    </row>
    <row r="26" spans="1:12" x14ac:dyDescent="0.3">
      <c r="A26" s="2">
        <v>24</v>
      </c>
      <c r="B26" s="5" t="s">
        <v>29</v>
      </c>
      <c r="C26" s="6"/>
      <c r="D26" s="7" t="s">
        <v>152</v>
      </c>
      <c r="E26" s="7" t="s">
        <v>152</v>
      </c>
      <c r="F26" s="4">
        <v>2</v>
      </c>
      <c r="G26" s="2">
        <f>IFERROR(MATCH(C26,{"Mo";"Di";"Mi";"Do";"Fr"},0),0)^1+1*IFERROR(MATCH(D26,{"Mo";"Di";"Mi";"Do";"Fr"},0),0)^2+2*IFERROR(MATCH(E26,{"Mo";"Di";"Mi";"Do";"Fr"},0),0)^3+3*F26^4+4</f>
        <v>115</v>
      </c>
      <c r="I26" s="2" t="e">
        <f t="array" ref="I26">INDEX($G$3:$G$160,MATCH(0,COUNTIF(I$1:$I25,$G$3:$G$160),0))</f>
        <v>#N/A</v>
      </c>
      <c r="J26" s="2"/>
      <c r="K26" s="2"/>
      <c r="L26" s="31"/>
    </row>
    <row r="27" spans="1:12" x14ac:dyDescent="0.3">
      <c r="A27" s="2">
        <v>25</v>
      </c>
      <c r="B27" s="5" t="s">
        <v>30</v>
      </c>
      <c r="C27" s="6"/>
      <c r="D27" s="7" t="s">
        <v>152</v>
      </c>
      <c r="E27" s="7" t="s">
        <v>151</v>
      </c>
      <c r="F27" s="4">
        <v>1</v>
      </c>
      <c r="G27" s="2">
        <f>IFERROR(MATCH(C27,{"Mo";"Di";"Mi";"Do";"Fr"},0),0)^1+1*IFERROR(MATCH(D27,{"Mo";"Di";"Mi";"Do";"Fr"},0),0)^2+2*IFERROR(MATCH(E27,{"Mo";"Di";"Mi";"Do";"Fr"},0),0)^3+3*F27^4+4</f>
        <v>266</v>
      </c>
      <c r="I27" s="2" t="e">
        <f t="array" ref="I27">INDEX($G$3:$G$160,MATCH(0,COUNTIF(I$1:$I26,$G$3:$G$160),0))</f>
        <v>#N/A</v>
      </c>
      <c r="J27" s="2"/>
      <c r="K27" s="2"/>
      <c r="L27" s="31"/>
    </row>
    <row r="28" spans="1:12" x14ac:dyDescent="0.3">
      <c r="A28" s="2">
        <v>26</v>
      </c>
      <c r="B28" s="5" t="s">
        <v>31</v>
      </c>
      <c r="C28" s="6"/>
      <c r="D28" s="7" t="s">
        <v>150</v>
      </c>
      <c r="E28" s="7" t="s">
        <v>150</v>
      </c>
      <c r="F28" s="4">
        <v>3</v>
      </c>
      <c r="G28" s="2">
        <f>IFERROR(MATCH(C28,{"Mo";"Di";"Mi";"Do";"Fr"},0),0)^1+1*IFERROR(MATCH(D28,{"Mo";"Di";"Mi";"Do";"Fr"},0),0)^2+2*IFERROR(MATCH(E28,{"Mo";"Di";"Mi";"Do";"Fr"},0),0)^3+3*F28^4+4</f>
        <v>391</v>
      </c>
      <c r="I28" s="2" t="e">
        <f t="array" ref="I28">INDEX($G$3:$G$160,MATCH(0,COUNTIF(I$1:$I27,$G$3:$G$160),0))</f>
        <v>#N/A</v>
      </c>
      <c r="J28" s="2"/>
      <c r="K28" s="2"/>
      <c r="L28" s="31"/>
    </row>
    <row r="29" spans="1:12" x14ac:dyDescent="0.3">
      <c r="A29" s="2">
        <v>27</v>
      </c>
      <c r="B29" s="5" t="s">
        <v>32</v>
      </c>
      <c r="C29" s="7" t="s">
        <v>152</v>
      </c>
      <c r="D29" s="6"/>
      <c r="E29" s="7" t="s">
        <v>151</v>
      </c>
      <c r="F29" s="4">
        <v>3</v>
      </c>
      <c r="G29" s="2">
        <f>IFERROR(MATCH(C29,{"Mo";"Di";"Mi";"Do";"Fr"},0),0)^1+1*IFERROR(MATCH(D29,{"Mo";"Di";"Mi";"Do";"Fr"},0),0)^2+2*IFERROR(MATCH(E29,{"Mo";"Di";"Mi";"Do";"Fr"},0),0)^3+3*F29^4+4</f>
        <v>500</v>
      </c>
      <c r="I29" s="2" t="e">
        <f t="array" ref="I29">INDEX($G$3:$G$160,MATCH(0,COUNTIF(I$1:$I28,$G$3:$G$160),0))</f>
        <v>#N/A</v>
      </c>
      <c r="J29" s="2"/>
      <c r="K29" s="2"/>
      <c r="L29" s="31"/>
    </row>
    <row r="30" spans="1:12" x14ac:dyDescent="0.3">
      <c r="A30" s="2">
        <v>28</v>
      </c>
      <c r="B30" s="5" t="s">
        <v>33</v>
      </c>
      <c r="C30" s="6"/>
      <c r="D30" s="7" t="s">
        <v>150</v>
      </c>
      <c r="E30" s="7" t="s">
        <v>150</v>
      </c>
      <c r="F30" s="4">
        <v>3</v>
      </c>
      <c r="G30" s="2">
        <f>IFERROR(MATCH(C30,{"Mo";"Di";"Mi";"Do";"Fr"},0),0)^1+1*IFERROR(MATCH(D30,{"Mo";"Di";"Mi";"Do";"Fr"},0),0)^2+2*IFERROR(MATCH(E30,{"Mo";"Di";"Mi";"Do";"Fr"},0),0)^3+3*F30^4+4</f>
        <v>391</v>
      </c>
      <c r="I30" s="2" t="e">
        <f t="array" ref="I30">INDEX($G$3:$G$160,MATCH(0,COUNTIF(I$1:$I29,$G$3:$G$160),0))</f>
        <v>#N/A</v>
      </c>
      <c r="J30" s="2"/>
      <c r="K30" s="2"/>
      <c r="L30" s="31"/>
    </row>
    <row r="31" spans="1:12" x14ac:dyDescent="0.3">
      <c r="A31" s="2">
        <v>29</v>
      </c>
      <c r="B31" s="5" t="s">
        <v>34</v>
      </c>
      <c r="C31" s="6"/>
      <c r="D31" s="7" t="s">
        <v>152</v>
      </c>
      <c r="E31" s="7" t="s">
        <v>152</v>
      </c>
      <c r="F31" s="4">
        <v>2</v>
      </c>
      <c r="G31" s="2">
        <f>IFERROR(MATCH(C31,{"Mo";"Di";"Mi";"Do";"Fr"},0),0)^1+1*IFERROR(MATCH(D31,{"Mo";"Di";"Mi";"Do";"Fr"},0),0)^2+2*IFERROR(MATCH(E31,{"Mo";"Di";"Mi";"Do";"Fr"},0),0)^3+3*F31^4+4</f>
        <v>115</v>
      </c>
      <c r="I31" s="2" t="e">
        <f t="array" ref="I31">INDEX($G$3:$G$160,MATCH(0,COUNTIF(I$1:$I30,$G$3:$G$160),0))</f>
        <v>#N/A</v>
      </c>
      <c r="J31" s="2"/>
      <c r="K31" s="2"/>
      <c r="L31" s="31"/>
    </row>
    <row r="32" spans="1:12" x14ac:dyDescent="0.3">
      <c r="A32" s="2">
        <v>30</v>
      </c>
      <c r="B32" s="5" t="s">
        <v>35</v>
      </c>
      <c r="C32" s="6"/>
      <c r="D32" s="7" t="s">
        <v>150</v>
      </c>
      <c r="E32" s="7" t="s">
        <v>150</v>
      </c>
      <c r="F32" s="4">
        <v>4</v>
      </c>
      <c r="G32" s="2">
        <f>IFERROR(MATCH(C32,{"Mo";"Di";"Mi";"Do";"Fr"},0),0)^1+1*IFERROR(MATCH(D32,{"Mo";"Di";"Mi";"Do";"Fr"},0),0)^2+2*IFERROR(MATCH(E32,{"Mo";"Di";"Mi";"Do";"Fr"},0),0)^3+3*F32^4+4</f>
        <v>916</v>
      </c>
      <c r="I32" s="2" t="e">
        <f t="array" ref="I32">INDEX($G$3:$G$160,MATCH(0,COUNTIF(I$1:$I31,$G$3:$G$160),0))</f>
        <v>#N/A</v>
      </c>
      <c r="J32" s="2"/>
      <c r="K32" s="2"/>
      <c r="L32" s="31"/>
    </row>
    <row r="33" spans="1:12" x14ac:dyDescent="0.3">
      <c r="A33" s="2">
        <v>31</v>
      </c>
      <c r="B33" s="5" t="s">
        <v>36</v>
      </c>
      <c r="C33" s="6"/>
      <c r="D33" s="7" t="s">
        <v>150</v>
      </c>
      <c r="E33" s="7" t="s">
        <v>150</v>
      </c>
      <c r="F33" s="4">
        <v>4</v>
      </c>
      <c r="G33" s="2">
        <f>IFERROR(MATCH(C33,{"Mo";"Di";"Mi";"Do";"Fr"},0),0)^1+1*IFERROR(MATCH(D33,{"Mo";"Di";"Mi";"Do";"Fr"},0),0)^2+2*IFERROR(MATCH(E33,{"Mo";"Di";"Mi";"Do";"Fr"},0),0)^3+3*F33^4+4</f>
        <v>916</v>
      </c>
      <c r="I33" s="2" t="e">
        <f t="array" ref="I33">INDEX($G$3:$G$160,MATCH(0,COUNTIF(I$1:$I32,$G$3:$G$160),0))</f>
        <v>#N/A</v>
      </c>
      <c r="J33" s="2"/>
      <c r="K33" s="2"/>
      <c r="L33" s="31"/>
    </row>
    <row r="34" spans="1:12" x14ac:dyDescent="0.3">
      <c r="A34" s="2">
        <v>32</v>
      </c>
      <c r="B34" s="5" t="s">
        <v>37</v>
      </c>
      <c r="C34" s="6"/>
      <c r="D34" s="7" t="s">
        <v>152</v>
      </c>
      <c r="E34" s="7" t="s">
        <v>152</v>
      </c>
      <c r="F34" s="4">
        <v>1</v>
      </c>
      <c r="G34" s="2">
        <f>IFERROR(MATCH(C34,{"Mo";"Di";"Mi";"Do";"Fr"},0),0)^1+1*IFERROR(MATCH(D34,{"Mo";"Di";"Mi";"Do";"Fr"},0),0)^2+2*IFERROR(MATCH(E34,{"Mo";"Di";"Mi";"Do";"Fr"},0),0)^3+3*F34^4+4</f>
        <v>70</v>
      </c>
      <c r="I34" s="2" t="e">
        <f t="array" ref="I34">INDEX($G$3:$G$160,MATCH(0,COUNTIF(I$1:$I33,$G$3:$G$160),0))</f>
        <v>#N/A</v>
      </c>
      <c r="J34" s="2"/>
      <c r="K34" s="2"/>
      <c r="L34" s="31"/>
    </row>
    <row r="35" spans="1:12" x14ac:dyDescent="0.3">
      <c r="A35" s="2">
        <v>33</v>
      </c>
      <c r="B35" s="5" t="s">
        <v>38</v>
      </c>
      <c r="C35" s="6"/>
      <c r="D35" s="7" t="s">
        <v>151</v>
      </c>
      <c r="E35" s="7" t="s">
        <v>151</v>
      </c>
      <c r="F35" s="4">
        <v>1</v>
      </c>
      <c r="G35" s="2">
        <f>IFERROR(MATCH(C35,{"Mo";"Di";"Mi";"Do";"Fr"},0),0)^1+1*IFERROR(MATCH(D35,{"Mo";"Di";"Mi";"Do";"Fr"},0),0)^2+2*IFERROR(MATCH(E35,{"Mo";"Di";"Mi";"Do";"Fr"},0),0)^3+3*F35^4+4</f>
        <v>282</v>
      </c>
      <c r="I35" s="2" t="e">
        <f t="array" ref="I35">INDEX($G$3:$G$160,MATCH(0,COUNTIF(I$1:$I34,$G$3:$G$160),0))</f>
        <v>#N/A</v>
      </c>
      <c r="J35" s="2"/>
      <c r="K35" s="2"/>
      <c r="L35" s="31"/>
    </row>
    <row r="36" spans="1:12" x14ac:dyDescent="0.3">
      <c r="A36" s="2">
        <v>34</v>
      </c>
      <c r="B36" s="5" t="s">
        <v>39</v>
      </c>
      <c r="C36" s="6"/>
      <c r="D36" s="7" t="s">
        <v>152</v>
      </c>
      <c r="E36" s="7" t="s">
        <v>152</v>
      </c>
      <c r="F36" s="4">
        <v>1</v>
      </c>
      <c r="G36" s="2">
        <f>IFERROR(MATCH(C36,{"Mo";"Di";"Mi";"Do";"Fr"},0),0)^1+1*IFERROR(MATCH(D36,{"Mo";"Di";"Mi";"Do";"Fr"},0),0)^2+2*IFERROR(MATCH(E36,{"Mo";"Di";"Mi";"Do";"Fr"},0),0)^3+3*F36^4+4</f>
        <v>70</v>
      </c>
      <c r="I36" s="2" t="e">
        <f t="array" ref="I36">INDEX($G$3:$G$160,MATCH(0,COUNTIF(I$1:$I35,$G$3:$G$160),0))</f>
        <v>#N/A</v>
      </c>
      <c r="J36" s="2"/>
      <c r="K36" s="2"/>
      <c r="L36" s="31"/>
    </row>
    <row r="37" spans="1:12" x14ac:dyDescent="0.3">
      <c r="A37" s="2">
        <v>35</v>
      </c>
      <c r="B37" s="5" t="s">
        <v>40</v>
      </c>
      <c r="C37" s="6"/>
      <c r="D37" s="7" t="s">
        <v>150</v>
      </c>
      <c r="E37" s="7" t="s">
        <v>150</v>
      </c>
      <c r="F37" s="4">
        <v>3</v>
      </c>
      <c r="G37" s="2">
        <f>IFERROR(MATCH(C37,{"Mo";"Di";"Mi";"Do";"Fr"},0),0)^1+1*IFERROR(MATCH(D37,{"Mo";"Di";"Mi";"Do";"Fr"},0),0)^2+2*IFERROR(MATCH(E37,{"Mo";"Di";"Mi";"Do";"Fr"},0),0)^3+3*F37^4+4</f>
        <v>391</v>
      </c>
      <c r="I37" s="2" t="e">
        <f t="array" ref="I37">INDEX($G$3:$G$160,MATCH(0,COUNTIF(I$1:$I36,$G$3:$G$160),0))</f>
        <v>#N/A</v>
      </c>
      <c r="J37" s="2"/>
      <c r="K37" s="2"/>
      <c r="L37" s="31"/>
    </row>
    <row r="38" spans="1:12" x14ac:dyDescent="0.3">
      <c r="A38" s="2">
        <v>36</v>
      </c>
      <c r="B38" s="5" t="s">
        <v>41</v>
      </c>
      <c r="C38" s="6"/>
      <c r="D38" s="7" t="s">
        <v>150</v>
      </c>
      <c r="E38" s="7" t="s">
        <v>150</v>
      </c>
      <c r="F38" s="4">
        <v>3</v>
      </c>
      <c r="G38" s="2">
        <f>IFERROR(MATCH(C38,{"Mo";"Di";"Mi";"Do";"Fr"},0),0)^1+1*IFERROR(MATCH(D38,{"Mo";"Di";"Mi";"Do";"Fr"},0),0)^2+2*IFERROR(MATCH(E38,{"Mo";"Di";"Mi";"Do";"Fr"},0),0)^3+3*F38^4+4</f>
        <v>391</v>
      </c>
      <c r="I38" s="2" t="e">
        <f t="array" ref="I38">INDEX($G$3:$G$160,MATCH(0,COUNTIF(I$1:$I37,$G$3:$G$160),0))</f>
        <v>#N/A</v>
      </c>
      <c r="J38" s="2"/>
      <c r="K38" s="2"/>
      <c r="L38" s="31"/>
    </row>
    <row r="39" spans="1:12" x14ac:dyDescent="0.3">
      <c r="A39" s="2">
        <v>37</v>
      </c>
      <c r="B39" s="5" t="s">
        <v>42</v>
      </c>
      <c r="C39" s="6"/>
      <c r="D39" s="7" t="s">
        <v>150</v>
      </c>
      <c r="E39" s="7" t="s">
        <v>150</v>
      </c>
      <c r="F39" s="4">
        <v>3</v>
      </c>
      <c r="G39" s="2">
        <f>IFERROR(MATCH(C39,{"Mo";"Di";"Mi";"Do";"Fr"},0),0)^1+1*IFERROR(MATCH(D39,{"Mo";"Di";"Mi";"Do";"Fr"},0),0)^2+2*IFERROR(MATCH(E39,{"Mo";"Di";"Mi";"Do";"Fr"},0),0)^3+3*F39^4+4</f>
        <v>391</v>
      </c>
      <c r="I39" s="2" t="e">
        <f t="array" ref="I39">INDEX($G$3:$G$160,MATCH(0,COUNTIF(I$1:$I38,$G$3:$G$160),0))</f>
        <v>#N/A</v>
      </c>
      <c r="J39" s="2"/>
      <c r="K39" s="2"/>
      <c r="L39" s="31"/>
    </row>
    <row r="40" spans="1:12" x14ac:dyDescent="0.3">
      <c r="A40" s="2">
        <v>38</v>
      </c>
      <c r="B40" s="5" t="s">
        <v>43</v>
      </c>
      <c r="C40" s="6"/>
      <c r="D40" s="7" t="s">
        <v>152</v>
      </c>
      <c r="E40" s="7" t="s">
        <v>152</v>
      </c>
      <c r="F40" s="4">
        <v>2</v>
      </c>
      <c r="G40" s="2">
        <f>IFERROR(MATCH(C40,{"Mo";"Di";"Mi";"Do";"Fr"},0),0)^1+1*IFERROR(MATCH(D40,{"Mo";"Di";"Mi";"Do";"Fr"},0),0)^2+2*IFERROR(MATCH(E40,{"Mo";"Di";"Mi";"Do";"Fr"},0),0)^3+3*F40^4+4</f>
        <v>115</v>
      </c>
      <c r="I40" s="2" t="e">
        <f t="array" ref="I40">INDEX($G$3:$G$160,MATCH(0,COUNTIF(I$1:$I39,$G$3:$G$160),0))</f>
        <v>#N/A</v>
      </c>
      <c r="J40" s="2"/>
      <c r="K40" s="2"/>
      <c r="L40" s="31"/>
    </row>
    <row r="41" spans="1:12" x14ac:dyDescent="0.3">
      <c r="A41" s="2">
        <v>39</v>
      </c>
      <c r="B41" s="5" t="s">
        <v>44</v>
      </c>
      <c r="C41" s="6"/>
      <c r="D41" s="7" t="s">
        <v>150</v>
      </c>
      <c r="E41" s="7" t="s">
        <v>150</v>
      </c>
      <c r="F41" s="4">
        <v>3</v>
      </c>
      <c r="G41" s="2">
        <f>IFERROR(MATCH(C41,{"Mo";"Di";"Mi";"Do";"Fr"},0),0)^1+1*IFERROR(MATCH(D41,{"Mo";"Di";"Mi";"Do";"Fr"},0),0)^2+2*IFERROR(MATCH(E41,{"Mo";"Di";"Mi";"Do";"Fr"},0),0)^3+3*F41^4+4</f>
        <v>391</v>
      </c>
      <c r="I41" s="2" t="e">
        <f t="array" ref="I41">INDEX($G$3:$G$160,MATCH(0,COUNTIF(I$1:$I40,$G$3:$G$160),0))</f>
        <v>#N/A</v>
      </c>
      <c r="J41" s="2"/>
      <c r="K41" s="2"/>
      <c r="L41" s="31"/>
    </row>
    <row r="42" spans="1:12" x14ac:dyDescent="0.3">
      <c r="A42" s="2">
        <v>40</v>
      </c>
      <c r="B42" s="5" t="s">
        <v>174</v>
      </c>
      <c r="C42" s="6"/>
      <c r="D42" s="7" t="s">
        <v>150</v>
      </c>
      <c r="E42" s="7" t="s">
        <v>150</v>
      </c>
      <c r="F42" s="4">
        <v>1</v>
      </c>
      <c r="G42" s="2">
        <f>IFERROR(MATCH(C42,{"Mo";"Di";"Mi";"Do";"Fr"},0),0)^1+1*IFERROR(MATCH(D42,{"Mo";"Di";"Mi";"Do";"Fr"},0),0)^2+2*IFERROR(MATCH(E42,{"Mo";"Di";"Mi";"Do";"Fr"},0),0)^3+3*F42^4+4</f>
        <v>151</v>
      </c>
      <c r="I42" s="2" t="e">
        <f t="array" ref="I42">INDEX($G$3:$G$160,MATCH(0,COUNTIF(I$1:$I41,$G$3:$G$160),0))</f>
        <v>#N/A</v>
      </c>
      <c r="J42" s="2"/>
      <c r="K42" s="2"/>
      <c r="L42" s="31"/>
    </row>
    <row r="43" spans="1:12" x14ac:dyDescent="0.3">
      <c r="A43" s="2">
        <v>41</v>
      </c>
      <c r="B43" s="5" t="s">
        <v>175</v>
      </c>
      <c r="C43" s="6"/>
      <c r="D43" s="7" t="s">
        <v>152</v>
      </c>
      <c r="E43" s="7" t="s">
        <v>152</v>
      </c>
      <c r="F43" s="4">
        <v>1</v>
      </c>
      <c r="G43" s="2">
        <f>IFERROR(MATCH(C43,{"Mo";"Di";"Mi";"Do";"Fr"},0),0)^1+1*IFERROR(MATCH(D43,{"Mo";"Di";"Mi";"Do";"Fr"},0),0)^2+2*IFERROR(MATCH(E43,{"Mo";"Di";"Mi";"Do";"Fr"},0),0)^3+3*F43^4+4</f>
        <v>70</v>
      </c>
      <c r="I43" s="2" t="e">
        <f t="array" ref="I43">INDEX($G$3:$G$160,MATCH(0,COUNTIF(I$1:$I42,$G$3:$G$160),0))</f>
        <v>#N/A</v>
      </c>
      <c r="J43" s="2"/>
      <c r="K43" s="2"/>
      <c r="L43" s="31"/>
    </row>
    <row r="44" spans="1:12" x14ac:dyDescent="0.3">
      <c r="A44" s="2">
        <v>42</v>
      </c>
      <c r="B44" s="5" t="s">
        <v>45</v>
      </c>
      <c r="C44" s="7" t="s">
        <v>152</v>
      </c>
      <c r="D44" s="6"/>
      <c r="E44" s="7" t="s">
        <v>150</v>
      </c>
      <c r="F44" s="4">
        <v>3</v>
      </c>
      <c r="G44" s="2">
        <f>IFERROR(MATCH(C44,{"Mo";"Di";"Mi";"Do";"Fr"},0),0)^1+1*IFERROR(MATCH(D44,{"Mo";"Di";"Mi";"Do";"Fr"},0),0)^2+2*IFERROR(MATCH(E44,{"Mo";"Di";"Mi";"Do";"Fr"},0),0)^3+3*F44^4+4</f>
        <v>378</v>
      </c>
      <c r="I44" s="2" t="e">
        <f t="array" ref="I44">INDEX($G$3:$G$160,MATCH(0,COUNTIF(I$1:$I43,$G$3:$G$160),0))</f>
        <v>#N/A</v>
      </c>
      <c r="J44" s="2"/>
      <c r="K44" s="2"/>
      <c r="L44" s="31"/>
    </row>
    <row r="45" spans="1:12" x14ac:dyDescent="0.3">
      <c r="A45" s="2">
        <v>43</v>
      </c>
      <c r="B45" s="5" t="s">
        <v>46</v>
      </c>
      <c r="C45" s="6"/>
      <c r="D45" s="7" t="s">
        <v>152</v>
      </c>
      <c r="E45" s="7" t="s">
        <v>152</v>
      </c>
      <c r="F45" s="4">
        <v>2</v>
      </c>
      <c r="G45" s="2">
        <f>IFERROR(MATCH(C45,{"Mo";"Di";"Mi";"Do";"Fr"},0),0)^1+1*IFERROR(MATCH(D45,{"Mo";"Di";"Mi";"Do";"Fr"},0),0)^2+2*IFERROR(MATCH(E45,{"Mo";"Di";"Mi";"Do";"Fr"},0),0)^3+3*F45^4+4</f>
        <v>115</v>
      </c>
      <c r="I45" s="2" t="e">
        <f t="array" ref="I45">INDEX($G$3:$G$160,MATCH(0,COUNTIF(I$1:$I44,$G$3:$G$160),0))</f>
        <v>#N/A</v>
      </c>
      <c r="J45" s="2"/>
      <c r="K45" s="2"/>
      <c r="L45" s="31"/>
    </row>
    <row r="46" spans="1:12" x14ac:dyDescent="0.3">
      <c r="A46" s="2">
        <v>44</v>
      </c>
      <c r="B46" s="5" t="s">
        <v>200</v>
      </c>
      <c r="C46" s="7" t="s">
        <v>152</v>
      </c>
      <c r="D46" s="6"/>
      <c r="E46" s="7" t="s">
        <v>150</v>
      </c>
      <c r="F46" s="4">
        <v>3</v>
      </c>
      <c r="G46" s="2">
        <f>IFERROR(MATCH(C46,{"Mo";"Di";"Mi";"Do";"Fr"},0),0)^1+1*IFERROR(MATCH(D46,{"Mo";"Di";"Mi";"Do";"Fr"},0),0)^2+2*IFERROR(MATCH(E46,{"Mo";"Di";"Mi";"Do";"Fr"},0),0)^3+3*F46^4+4</f>
        <v>378</v>
      </c>
      <c r="I46" s="2" t="e">
        <f t="array" ref="I46">INDEX($G$3:$G$160,MATCH(0,COUNTIF(I$1:$I45,$G$3:$G$160),0))</f>
        <v>#N/A</v>
      </c>
      <c r="J46" s="2"/>
      <c r="K46" s="2"/>
      <c r="L46" s="31"/>
    </row>
    <row r="47" spans="1:12" x14ac:dyDescent="0.3">
      <c r="A47" s="2">
        <v>45</v>
      </c>
      <c r="B47" s="5" t="s">
        <v>201</v>
      </c>
      <c r="C47" s="6"/>
      <c r="D47" s="7" t="s">
        <v>150</v>
      </c>
      <c r="E47" s="7" t="s">
        <v>150</v>
      </c>
      <c r="F47" s="4">
        <v>3</v>
      </c>
      <c r="G47" s="2">
        <f>IFERROR(MATCH(C47,{"Mo";"Di";"Mi";"Do";"Fr"},0),0)^1+1*IFERROR(MATCH(D47,{"Mo";"Di";"Mi";"Do";"Fr"},0),0)^2+2*IFERROR(MATCH(E47,{"Mo";"Di";"Mi";"Do";"Fr"},0),0)^3+3*F47^4+4</f>
        <v>391</v>
      </c>
      <c r="I47" s="2" t="e">
        <f t="array" ref="I47">INDEX($G$3:$G$160,MATCH(0,COUNTIF(I$1:$I46,$G$3:$G$160),0))</f>
        <v>#N/A</v>
      </c>
      <c r="J47" s="2"/>
      <c r="K47" s="2"/>
      <c r="L47" s="31"/>
    </row>
    <row r="48" spans="1:12" x14ac:dyDescent="0.3">
      <c r="A48" s="2">
        <v>46</v>
      </c>
      <c r="B48" s="5" t="s">
        <v>47</v>
      </c>
      <c r="C48" s="6"/>
      <c r="D48" s="7" t="s">
        <v>152</v>
      </c>
      <c r="E48" s="7" t="s">
        <v>152</v>
      </c>
      <c r="F48" s="4">
        <v>2</v>
      </c>
      <c r="G48" s="2">
        <f>IFERROR(MATCH(C48,{"Mo";"Di";"Mi";"Do";"Fr"},0),0)^1+1*IFERROR(MATCH(D48,{"Mo";"Di";"Mi";"Do";"Fr"},0),0)^2+2*IFERROR(MATCH(E48,{"Mo";"Di";"Mi";"Do";"Fr"},0),0)^3+3*F48^4+4</f>
        <v>115</v>
      </c>
      <c r="I48" s="2" t="e">
        <f t="array" ref="I48">INDEX($G$3:$G$160,MATCH(0,COUNTIF(I$1:$I47,$G$3:$G$160),0))</f>
        <v>#N/A</v>
      </c>
      <c r="J48" s="2"/>
      <c r="K48" s="2"/>
      <c r="L48" s="31"/>
    </row>
    <row r="49" spans="1:12" x14ac:dyDescent="0.3">
      <c r="A49" s="2">
        <v>47</v>
      </c>
      <c r="B49" s="5" t="s">
        <v>48</v>
      </c>
      <c r="C49" s="7" t="s">
        <v>153</v>
      </c>
      <c r="D49" s="7" t="s">
        <v>153</v>
      </c>
      <c r="E49" s="7" t="s">
        <v>153</v>
      </c>
      <c r="F49" s="4"/>
      <c r="G49" s="2">
        <f>IFERROR(MATCH(C49,{"Mo";"Di";"Mi";"Do";"Fr"},0),0)^1+1*IFERROR(MATCH(D49,{"Mo";"Di";"Mi";"Do";"Fr"},0),0)^2+2*IFERROR(MATCH(E49,{"Mo";"Di";"Mi";"Do";"Fr"},0),0)^3+3*F49^4+4</f>
        <v>4</v>
      </c>
      <c r="I49" s="2" t="e">
        <f t="array" ref="I49">INDEX($G$3:$G$160,MATCH(0,COUNTIF(I$1:$I48,$G$3:$G$160),0))</f>
        <v>#N/A</v>
      </c>
      <c r="J49" s="2"/>
      <c r="K49" s="2"/>
      <c r="L49" s="31"/>
    </row>
    <row r="50" spans="1:12" x14ac:dyDescent="0.3">
      <c r="A50" s="2">
        <v>48</v>
      </c>
      <c r="B50" s="5" t="s">
        <v>49</v>
      </c>
      <c r="C50" s="6"/>
      <c r="D50" s="7" t="s">
        <v>152</v>
      </c>
      <c r="E50" s="7" t="s">
        <v>150</v>
      </c>
      <c r="F50" s="4">
        <v>1</v>
      </c>
      <c r="G50" s="2">
        <f>IFERROR(MATCH(C50,{"Mo";"Di";"Mi";"Do";"Fr"},0),0)^1+1*IFERROR(MATCH(D50,{"Mo";"Di";"Mi";"Do";"Fr"},0),0)^2+2*IFERROR(MATCH(E50,{"Mo";"Di";"Mi";"Do";"Fr"},0),0)^3+3*F50^4+4</f>
        <v>144</v>
      </c>
      <c r="I50" s="2" t="e">
        <f t="array" ref="I50">INDEX($G$3:$G$160,MATCH(0,COUNTIF(I$1:$I49,$G$3:$G$160),0))</f>
        <v>#N/A</v>
      </c>
      <c r="J50" s="2"/>
      <c r="K50" s="2"/>
      <c r="L50" s="31"/>
    </row>
    <row r="51" spans="1:12" x14ac:dyDescent="0.3">
      <c r="A51" s="2">
        <v>49</v>
      </c>
      <c r="B51" s="5" t="s">
        <v>50</v>
      </c>
      <c r="C51" s="6"/>
      <c r="D51" s="7" t="s">
        <v>151</v>
      </c>
      <c r="E51" s="7" t="s">
        <v>151</v>
      </c>
      <c r="F51" s="4">
        <v>3</v>
      </c>
      <c r="G51" s="2">
        <f>IFERROR(MATCH(C51,{"Mo";"Di";"Mi";"Do";"Fr"},0),0)^1+1*IFERROR(MATCH(D51,{"Mo";"Di";"Mi";"Do";"Fr"},0),0)^2+2*IFERROR(MATCH(E51,{"Mo";"Di";"Mi";"Do";"Fr"},0),0)^3+3*F51^4+4</f>
        <v>522</v>
      </c>
      <c r="I51" s="2" t="e">
        <f t="array" ref="I51">INDEX($G$3:$G$160,MATCH(0,COUNTIF(I$1:$I50,$G$3:$G$160),0))</f>
        <v>#N/A</v>
      </c>
      <c r="J51" s="2"/>
      <c r="K51" s="2"/>
      <c r="L51" s="31"/>
    </row>
    <row r="52" spans="1:12" x14ac:dyDescent="0.3">
      <c r="A52" s="2">
        <v>50</v>
      </c>
      <c r="B52" s="5" t="s">
        <v>51</v>
      </c>
      <c r="C52" s="7" t="s">
        <v>152</v>
      </c>
      <c r="D52" s="6"/>
      <c r="E52" s="7" t="s">
        <v>150</v>
      </c>
      <c r="F52" s="4">
        <v>3</v>
      </c>
      <c r="G52" s="2">
        <f>IFERROR(MATCH(C52,{"Mo";"Di";"Mi";"Do";"Fr"},0),0)^1+1*IFERROR(MATCH(D52,{"Mo";"Di";"Mi";"Do";"Fr"},0),0)^2+2*IFERROR(MATCH(E52,{"Mo";"Di";"Mi";"Do";"Fr"},0),0)^3+3*F52^4+4</f>
        <v>378</v>
      </c>
      <c r="I52" s="2" t="e">
        <f t="array" ref="I52">INDEX($G$3:$G$160,MATCH(0,COUNTIF(I$1:$I51,$G$3:$G$160),0))</f>
        <v>#N/A</v>
      </c>
      <c r="J52" s="2"/>
      <c r="K52" s="2"/>
      <c r="L52" s="31"/>
    </row>
    <row r="53" spans="1:12" x14ac:dyDescent="0.3">
      <c r="A53" s="2">
        <v>51</v>
      </c>
      <c r="B53" s="5" t="s">
        <v>52</v>
      </c>
      <c r="C53" s="6"/>
      <c r="D53" s="7" t="s">
        <v>150</v>
      </c>
      <c r="E53" s="7" t="s">
        <v>150</v>
      </c>
      <c r="F53" s="4">
        <v>1</v>
      </c>
      <c r="G53" s="2">
        <f>IFERROR(MATCH(C53,{"Mo";"Di";"Mi";"Do";"Fr"},0),0)^1+1*IFERROR(MATCH(D53,{"Mo";"Di";"Mi";"Do";"Fr"},0),0)^2+2*IFERROR(MATCH(E53,{"Mo";"Di";"Mi";"Do";"Fr"},0),0)^3+3*F53^4+4</f>
        <v>151</v>
      </c>
      <c r="I53" s="2" t="e">
        <f t="array" ref="I53">INDEX($G$3:$G$160,MATCH(0,COUNTIF(I$1:$I52,$G$3:$G$160),0))</f>
        <v>#N/A</v>
      </c>
      <c r="J53" s="2"/>
      <c r="K53" s="2"/>
      <c r="L53" s="31"/>
    </row>
    <row r="54" spans="1:12" x14ac:dyDescent="0.3">
      <c r="A54" s="2">
        <v>52</v>
      </c>
      <c r="B54" s="5" t="s">
        <v>53</v>
      </c>
      <c r="C54" s="6"/>
      <c r="D54" s="7" t="s">
        <v>151</v>
      </c>
      <c r="E54" s="7" t="s">
        <v>151</v>
      </c>
      <c r="F54" s="4"/>
      <c r="G54" s="2">
        <f>IFERROR(MATCH(C54,{"Mo";"Di";"Mi";"Do";"Fr"},0),0)^1+1*IFERROR(MATCH(D54,{"Mo";"Di";"Mi";"Do";"Fr"},0),0)^2+2*IFERROR(MATCH(E54,{"Mo";"Di";"Mi";"Do";"Fr"},0),0)^3+3*F54^4+4</f>
        <v>279</v>
      </c>
      <c r="I54" s="2" t="e">
        <f t="array" ref="I54">INDEX($G$3:$G$160,MATCH(0,COUNTIF(I$1:$I53,$G$3:$G$160),0))</f>
        <v>#N/A</v>
      </c>
      <c r="J54" s="2"/>
      <c r="K54" s="2"/>
      <c r="L54" s="31"/>
    </row>
    <row r="55" spans="1:12" x14ac:dyDescent="0.3">
      <c r="A55" s="2">
        <v>53</v>
      </c>
      <c r="B55" s="5" t="s">
        <v>54</v>
      </c>
      <c r="C55" s="6"/>
      <c r="D55" s="7" t="s">
        <v>151</v>
      </c>
      <c r="E55" s="7" t="s">
        <v>151</v>
      </c>
      <c r="F55" s="4">
        <v>1</v>
      </c>
      <c r="G55" s="2">
        <f>IFERROR(MATCH(C55,{"Mo";"Di";"Mi";"Do";"Fr"},0),0)^1+1*IFERROR(MATCH(D55,{"Mo";"Di";"Mi";"Do";"Fr"},0),0)^2+2*IFERROR(MATCH(E55,{"Mo";"Di";"Mi";"Do";"Fr"},0),0)^3+3*F55^4+4</f>
        <v>282</v>
      </c>
      <c r="I55" s="2" t="e">
        <f t="array" ref="I55">INDEX($G$3:$G$160,MATCH(0,COUNTIF(I$1:$I54,$G$3:$G$160),0))</f>
        <v>#N/A</v>
      </c>
      <c r="J55" s="2"/>
      <c r="K55" s="2"/>
      <c r="L55" s="31"/>
    </row>
    <row r="56" spans="1:12" x14ac:dyDescent="0.3">
      <c r="A56" s="2">
        <v>54</v>
      </c>
      <c r="B56" s="5" t="s">
        <v>55</v>
      </c>
      <c r="C56" s="7" t="s">
        <v>152</v>
      </c>
      <c r="D56" s="6"/>
      <c r="E56" s="7" t="s">
        <v>150</v>
      </c>
      <c r="F56" s="4">
        <v>3</v>
      </c>
      <c r="G56" s="2">
        <f>IFERROR(MATCH(C56,{"Mo";"Di";"Mi";"Do";"Fr"},0),0)^1+1*IFERROR(MATCH(D56,{"Mo";"Di";"Mi";"Do";"Fr"},0),0)^2+2*IFERROR(MATCH(E56,{"Mo";"Di";"Mi";"Do";"Fr"},0),0)^3+3*F56^4+4</f>
        <v>378</v>
      </c>
      <c r="I56" s="2" t="e">
        <f t="array" ref="I56">INDEX($G$3:$G$160,MATCH(0,COUNTIF(I$1:$I55,$G$3:$G$160),0))</f>
        <v>#N/A</v>
      </c>
      <c r="J56" s="2"/>
      <c r="K56" s="2"/>
      <c r="L56" s="31"/>
    </row>
    <row r="57" spans="1:12" x14ac:dyDescent="0.3">
      <c r="A57" s="2">
        <v>55</v>
      </c>
      <c r="B57" s="5" t="s">
        <v>56</v>
      </c>
      <c r="C57" s="6"/>
      <c r="D57" s="7" t="s">
        <v>152</v>
      </c>
      <c r="E57" s="7" t="s">
        <v>152</v>
      </c>
      <c r="F57" s="4">
        <v>2</v>
      </c>
      <c r="G57" s="2">
        <f>IFERROR(MATCH(C57,{"Mo";"Di";"Mi";"Do";"Fr"},0),0)^1+1*IFERROR(MATCH(D57,{"Mo";"Di";"Mi";"Do";"Fr"},0),0)^2+2*IFERROR(MATCH(E57,{"Mo";"Di";"Mi";"Do";"Fr"},0),0)^3+3*F57^4+4</f>
        <v>115</v>
      </c>
      <c r="I57" s="2" t="e">
        <f t="array" ref="I57">INDEX($G$3:$G$160,MATCH(0,COUNTIF(I$1:$I56,$G$3:$G$160),0))</f>
        <v>#N/A</v>
      </c>
      <c r="J57" s="2"/>
      <c r="K57" s="2"/>
      <c r="L57" s="31"/>
    </row>
    <row r="58" spans="1:12" x14ac:dyDescent="0.3">
      <c r="A58" s="2">
        <v>56</v>
      </c>
      <c r="B58" s="5" t="s">
        <v>57</v>
      </c>
      <c r="C58" s="6"/>
      <c r="D58" s="7" t="s">
        <v>152</v>
      </c>
      <c r="E58" s="7" t="s">
        <v>152</v>
      </c>
      <c r="F58" s="4">
        <v>2</v>
      </c>
      <c r="G58" s="2">
        <f>IFERROR(MATCH(C58,{"Mo";"Di";"Mi";"Do";"Fr"},0),0)^1+1*IFERROR(MATCH(D58,{"Mo";"Di";"Mi";"Do";"Fr"},0),0)^2+2*IFERROR(MATCH(E58,{"Mo";"Di";"Mi";"Do";"Fr"},0),0)^3+3*F58^4+4</f>
        <v>115</v>
      </c>
      <c r="I58" s="2" t="e">
        <f t="array" ref="I58">INDEX($G$3:$G$160,MATCH(0,COUNTIF(I$1:$I57,$G$3:$G$160),0))</f>
        <v>#N/A</v>
      </c>
      <c r="J58" s="2"/>
      <c r="K58" s="2"/>
      <c r="L58" s="31"/>
    </row>
    <row r="59" spans="1:12" x14ac:dyDescent="0.3">
      <c r="A59" s="2">
        <v>57</v>
      </c>
      <c r="B59" s="5" t="s">
        <v>58</v>
      </c>
      <c r="C59" s="6"/>
      <c r="D59" s="7" t="s">
        <v>152</v>
      </c>
      <c r="E59" s="7" t="s">
        <v>152</v>
      </c>
      <c r="F59" s="4">
        <v>2</v>
      </c>
      <c r="G59" s="2">
        <f>IFERROR(MATCH(C59,{"Mo";"Di";"Mi";"Do";"Fr"},0),0)^1+1*IFERROR(MATCH(D59,{"Mo";"Di";"Mi";"Do";"Fr"},0),0)^2+2*IFERROR(MATCH(E59,{"Mo";"Di";"Mi";"Do";"Fr"},0),0)^3+3*F59^4+4</f>
        <v>115</v>
      </c>
      <c r="I59" s="2" t="e">
        <f t="array" ref="I59">INDEX($G$3:$G$160,MATCH(0,COUNTIF(I$1:$I58,$G$3:$G$160),0))</f>
        <v>#N/A</v>
      </c>
      <c r="J59" s="2"/>
      <c r="K59" s="2"/>
      <c r="L59" s="31"/>
    </row>
    <row r="60" spans="1:12" x14ac:dyDescent="0.3">
      <c r="A60" s="2">
        <v>58</v>
      </c>
      <c r="B60" s="5" t="s">
        <v>59</v>
      </c>
      <c r="C60" s="6"/>
      <c r="D60" s="7" t="s">
        <v>152</v>
      </c>
      <c r="E60" s="7" t="s">
        <v>152</v>
      </c>
      <c r="F60" s="4">
        <v>2</v>
      </c>
      <c r="G60" s="2">
        <f>IFERROR(MATCH(C60,{"Mo";"Di";"Mi";"Do";"Fr"},0),0)^1+1*IFERROR(MATCH(D60,{"Mo";"Di";"Mi";"Do";"Fr"},0),0)^2+2*IFERROR(MATCH(E60,{"Mo";"Di";"Mi";"Do";"Fr"},0),0)^3+3*F60^4+4</f>
        <v>115</v>
      </c>
      <c r="I60" s="2" t="e">
        <f t="array" ref="I60">INDEX($G$3:$G$160,MATCH(0,COUNTIF(I$1:$I59,$G$3:$G$160),0))</f>
        <v>#N/A</v>
      </c>
      <c r="J60" s="2"/>
      <c r="K60" s="2"/>
      <c r="L60" s="31"/>
    </row>
    <row r="61" spans="1:12" x14ac:dyDescent="0.3">
      <c r="A61" s="2">
        <v>59</v>
      </c>
      <c r="B61" s="5" t="s">
        <v>60</v>
      </c>
      <c r="C61" s="6"/>
      <c r="D61" s="7" t="s">
        <v>152</v>
      </c>
      <c r="E61" s="7" t="s">
        <v>152</v>
      </c>
      <c r="F61" s="4">
        <v>2</v>
      </c>
      <c r="G61" s="2">
        <f>IFERROR(MATCH(C61,{"Mo";"Di";"Mi";"Do";"Fr"},0),0)^1+1*IFERROR(MATCH(D61,{"Mo";"Di";"Mi";"Do";"Fr"},0),0)^2+2*IFERROR(MATCH(E61,{"Mo";"Di";"Mi";"Do";"Fr"},0),0)^3+3*F61^4+4</f>
        <v>115</v>
      </c>
      <c r="I61" s="2" t="e">
        <f t="array" ref="I61">INDEX($G$3:$G$160,MATCH(0,COUNTIF(I$1:$I60,$G$3:$G$160),0))</f>
        <v>#N/A</v>
      </c>
      <c r="J61" s="2"/>
      <c r="K61" s="2"/>
      <c r="L61" s="31"/>
    </row>
    <row r="62" spans="1:12" x14ac:dyDescent="0.3">
      <c r="A62" s="2">
        <v>60</v>
      </c>
      <c r="B62" s="5" t="s">
        <v>61</v>
      </c>
      <c r="C62" s="6"/>
      <c r="D62" s="7" t="s">
        <v>152</v>
      </c>
      <c r="E62" s="7" t="s">
        <v>151</v>
      </c>
      <c r="F62" s="4">
        <v>2</v>
      </c>
      <c r="G62" s="2">
        <f>IFERROR(MATCH(C62,{"Mo";"Di";"Mi";"Do";"Fr"},0),0)^1+1*IFERROR(MATCH(D62,{"Mo";"Di";"Mi";"Do";"Fr"},0),0)^2+2*IFERROR(MATCH(E62,{"Mo";"Di";"Mi";"Do";"Fr"},0),0)^3+3*F62^4+4</f>
        <v>311</v>
      </c>
      <c r="I62" s="2" t="e">
        <f t="array" ref="I62">INDEX($G$3:$G$160,MATCH(0,COUNTIF(I$1:$I61,$G$3:$G$160),0))</f>
        <v>#N/A</v>
      </c>
      <c r="J62" s="2"/>
      <c r="K62" s="2"/>
      <c r="L62" s="31"/>
    </row>
    <row r="63" spans="1:12" x14ac:dyDescent="0.3">
      <c r="A63" s="2">
        <v>61</v>
      </c>
      <c r="B63" s="5" t="s">
        <v>62</v>
      </c>
      <c r="C63" s="6"/>
      <c r="D63" s="7" t="s">
        <v>150</v>
      </c>
      <c r="E63" s="7" t="s">
        <v>150</v>
      </c>
      <c r="F63" s="4">
        <v>1</v>
      </c>
      <c r="G63" s="2">
        <f>IFERROR(MATCH(C63,{"Mo";"Di";"Mi";"Do";"Fr"},0),0)^1+1*IFERROR(MATCH(D63,{"Mo";"Di";"Mi";"Do";"Fr"},0),0)^2+2*IFERROR(MATCH(E63,{"Mo";"Di";"Mi";"Do";"Fr"},0),0)^3+3*F63^4+4</f>
        <v>151</v>
      </c>
      <c r="I63" s="2" t="e">
        <f t="array" ref="I63">INDEX($G$3:$G$160,MATCH(0,COUNTIF(I$1:$I62,$G$3:$G$160),0))</f>
        <v>#N/A</v>
      </c>
      <c r="J63" s="2"/>
      <c r="K63" s="2"/>
      <c r="L63" s="31"/>
    </row>
    <row r="64" spans="1:12" x14ac:dyDescent="0.3">
      <c r="A64" s="2">
        <v>62</v>
      </c>
      <c r="B64" s="5" t="s">
        <v>2</v>
      </c>
      <c r="C64" s="7" t="s">
        <v>152</v>
      </c>
      <c r="D64" s="6"/>
      <c r="E64" s="7" t="s">
        <v>151</v>
      </c>
      <c r="F64" s="4">
        <v>3</v>
      </c>
      <c r="G64" s="2">
        <f>IFERROR(MATCH(C64,{"Mo";"Di";"Mi";"Do";"Fr"},0),0)^1+1*IFERROR(MATCH(D64,{"Mo";"Di";"Mi";"Do";"Fr"},0),0)^2+2*IFERROR(MATCH(E64,{"Mo";"Di";"Mi";"Do";"Fr"},0),0)^3+3*F64^4+4</f>
        <v>500</v>
      </c>
      <c r="I64" s="2" t="e">
        <f t="array" ref="I64">INDEX($G$3:$G$160,MATCH(0,COUNTIF(I$1:$I63,$G$3:$G$160),0))</f>
        <v>#N/A</v>
      </c>
      <c r="J64" s="2"/>
      <c r="K64" s="2"/>
      <c r="L64" s="31"/>
    </row>
    <row r="65" spans="1:12" x14ac:dyDescent="0.3">
      <c r="A65" s="2">
        <v>63</v>
      </c>
      <c r="B65" s="5" t="s">
        <v>63</v>
      </c>
      <c r="C65" s="6"/>
      <c r="D65" s="7" t="s">
        <v>151</v>
      </c>
      <c r="E65" s="7" t="s">
        <v>151</v>
      </c>
      <c r="F65" s="4">
        <v>1</v>
      </c>
      <c r="G65" s="2">
        <f>IFERROR(MATCH(C65,{"Mo";"Di";"Mi";"Do";"Fr"},0),0)^1+1*IFERROR(MATCH(D65,{"Mo";"Di";"Mi";"Do";"Fr"},0),0)^2+2*IFERROR(MATCH(E65,{"Mo";"Di";"Mi";"Do";"Fr"},0),0)^3+3*F65^4+4</f>
        <v>282</v>
      </c>
      <c r="I65" s="2" t="e">
        <f t="array" ref="I65">INDEX($G$3:$G$160,MATCH(0,COUNTIF(I$1:$I64,$G$3:$G$160),0))</f>
        <v>#N/A</v>
      </c>
      <c r="J65" s="2"/>
      <c r="K65" s="2"/>
      <c r="L65" s="31"/>
    </row>
    <row r="66" spans="1:12" x14ac:dyDescent="0.3">
      <c r="A66" s="2">
        <v>64</v>
      </c>
      <c r="B66" s="5" t="s">
        <v>64</v>
      </c>
      <c r="C66" s="6"/>
      <c r="D66" s="7" t="s">
        <v>151</v>
      </c>
      <c r="E66" s="7" t="s">
        <v>151</v>
      </c>
      <c r="F66" s="4">
        <v>1</v>
      </c>
      <c r="G66" s="2">
        <f>IFERROR(MATCH(C66,{"Mo";"Di";"Mi";"Do";"Fr"},0),0)^1+1*IFERROR(MATCH(D66,{"Mo";"Di";"Mi";"Do";"Fr"},0),0)^2+2*IFERROR(MATCH(E66,{"Mo";"Di";"Mi";"Do";"Fr"},0),0)^3+3*F66^4+4</f>
        <v>282</v>
      </c>
      <c r="I66" s="2" t="e">
        <f t="array" ref="I66">INDEX($G$3:$G$160,MATCH(0,COUNTIF(I$1:$I65,$G$3:$G$160),0))</f>
        <v>#N/A</v>
      </c>
      <c r="J66" s="2"/>
      <c r="K66" s="2"/>
      <c r="L66" s="31"/>
    </row>
    <row r="67" spans="1:12" x14ac:dyDescent="0.3">
      <c r="A67" s="2">
        <v>65</v>
      </c>
      <c r="B67" s="5" t="s">
        <v>65</v>
      </c>
      <c r="C67" s="6"/>
      <c r="D67" s="7" t="s">
        <v>150</v>
      </c>
      <c r="E67" s="7" t="s">
        <v>150</v>
      </c>
      <c r="F67" s="4">
        <v>3</v>
      </c>
      <c r="G67" s="2">
        <f>IFERROR(MATCH(C67,{"Mo";"Di";"Mi";"Do";"Fr"},0),0)^1+1*IFERROR(MATCH(D67,{"Mo";"Di";"Mi";"Do";"Fr"},0),0)^2+2*IFERROR(MATCH(E67,{"Mo";"Di";"Mi";"Do";"Fr"},0),0)^3+3*F67^4+4</f>
        <v>391</v>
      </c>
      <c r="I67" s="2" t="e">
        <f t="array" ref="I67">INDEX($G$3:$G$160,MATCH(0,COUNTIF(I$1:$I66,$G$3:$G$160),0))</f>
        <v>#N/A</v>
      </c>
      <c r="J67" s="2"/>
      <c r="K67" s="2"/>
      <c r="L67" s="31"/>
    </row>
    <row r="68" spans="1:12" x14ac:dyDescent="0.3">
      <c r="A68" s="2">
        <v>66</v>
      </c>
      <c r="B68" s="5" t="s">
        <v>66</v>
      </c>
      <c r="C68" s="6"/>
      <c r="D68" s="7" t="s">
        <v>152</v>
      </c>
      <c r="E68" s="7" t="s">
        <v>152</v>
      </c>
      <c r="F68" s="4">
        <v>2</v>
      </c>
      <c r="G68" s="2">
        <f>IFERROR(MATCH(C68,{"Mo";"Di";"Mi";"Do";"Fr"},0),0)^1+1*IFERROR(MATCH(D68,{"Mo";"Di";"Mi";"Do";"Fr"},0),0)^2+2*IFERROR(MATCH(E68,{"Mo";"Di";"Mi";"Do";"Fr"},0),0)^3+3*F68^4+4</f>
        <v>115</v>
      </c>
      <c r="I68" s="2" t="e">
        <f t="array" ref="I68">INDEX($G$3:$G$160,MATCH(0,COUNTIF(I$1:$I67,$G$3:$G$160),0))</f>
        <v>#N/A</v>
      </c>
      <c r="J68" s="2"/>
      <c r="K68" s="2"/>
      <c r="L68" s="31"/>
    </row>
    <row r="69" spans="1:12" x14ac:dyDescent="0.3">
      <c r="A69" s="2">
        <v>67</v>
      </c>
      <c r="B69" s="5" t="s">
        <v>67</v>
      </c>
      <c r="C69" s="6"/>
      <c r="D69" s="7" t="s">
        <v>150</v>
      </c>
      <c r="E69" s="7" t="s">
        <v>150</v>
      </c>
      <c r="F69" s="4">
        <v>3</v>
      </c>
      <c r="G69" s="2">
        <f>IFERROR(MATCH(C69,{"Mo";"Di";"Mi";"Do";"Fr"},0),0)^1+1*IFERROR(MATCH(D69,{"Mo";"Di";"Mi";"Do";"Fr"},0),0)^2+2*IFERROR(MATCH(E69,{"Mo";"Di";"Mi";"Do";"Fr"},0),0)^3+3*F69^4+4</f>
        <v>391</v>
      </c>
      <c r="I69" s="2" t="e">
        <f t="array" ref="I69">INDEX($G$3:$G$160,MATCH(0,COUNTIF(I$1:$I68,$G$3:$G$160),0))</f>
        <v>#N/A</v>
      </c>
      <c r="J69" s="2"/>
      <c r="K69" s="2"/>
      <c r="L69" s="31"/>
    </row>
    <row r="70" spans="1:12" x14ac:dyDescent="0.3">
      <c r="A70" s="2">
        <v>68</v>
      </c>
      <c r="B70" s="5" t="s">
        <v>68</v>
      </c>
      <c r="C70" s="6"/>
      <c r="D70" s="7" t="s">
        <v>152</v>
      </c>
      <c r="E70" s="7" t="s">
        <v>152</v>
      </c>
      <c r="F70" s="4">
        <v>2</v>
      </c>
      <c r="G70" s="2">
        <f>IFERROR(MATCH(C70,{"Mo";"Di";"Mi";"Do";"Fr"},0),0)^1+1*IFERROR(MATCH(D70,{"Mo";"Di";"Mi";"Do";"Fr"},0),0)^2+2*IFERROR(MATCH(E70,{"Mo";"Di";"Mi";"Do";"Fr"},0),0)^3+3*F70^4+4</f>
        <v>115</v>
      </c>
      <c r="I70" s="2" t="e">
        <f t="array" ref="I70">INDEX($G$3:$G$160,MATCH(0,COUNTIF(I$1:$I69,$G$3:$G$160),0))</f>
        <v>#N/A</v>
      </c>
      <c r="J70" s="2"/>
      <c r="K70" s="2"/>
      <c r="L70" s="31"/>
    </row>
    <row r="71" spans="1:12" x14ac:dyDescent="0.3">
      <c r="A71" s="2">
        <v>69</v>
      </c>
      <c r="B71" s="5" t="s">
        <v>69</v>
      </c>
      <c r="C71" s="7" t="s">
        <v>152</v>
      </c>
      <c r="D71" s="6"/>
      <c r="E71" s="7" t="s">
        <v>151</v>
      </c>
      <c r="F71" s="4">
        <v>2</v>
      </c>
      <c r="G71" s="2">
        <f>IFERROR(MATCH(C71,{"Mo";"Di";"Mi";"Do";"Fr"},0),0)^1+1*IFERROR(MATCH(D71,{"Mo";"Di";"Mi";"Do";"Fr"},0),0)^2+2*IFERROR(MATCH(E71,{"Mo";"Di";"Mi";"Do";"Fr"},0),0)^3+3*F71^4+4</f>
        <v>305</v>
      </c>
      <c r="I71" s="2" t="e">
        <f t="array" ref="I71">INDEX($G$3:$G$160,MATCH(0,COUNTIF(I$1:$I70,$G$3:$G$160),0))</f>
        <v>#N/A</v>
      </c>
      <c r="J71" s="2"/>
      <c r="K71" s="2"/>
      <c r="L71" s="31"/>
    </row>
    <row r="72" spans="1:12" x14ac:dyDescent="0.3">
      <c r="A72" s="2">
        <v>70</v>
      </c>
      <c r="B72" s="5" t="s">
        <v>70</v>
      </c>
      <c r="C72" s="6"/>
      <c r="D72" s="7" t="s">
        <v>152</v>
      </c>
      <c r="E72" s="7" t="s">
        <v>152</v>
      </c>
      <c r="F72" s="4">
        <v>2</v>
      </c>
      <c r="G72" s="2">
        <f>IFERROR(MATCH(C72,{"Mo";"Di";"Mi";"Do";"Fr"},0),0)^1+1*IFERROR(MATCH(D72,{"Mo";"Di";"Mi";"Do";"Fr"},0),0)^2+2*IFERROR(MATCH(E72,{"Mo";"Di";"Mi";"Do";"Fr"},0),0)^3+3*F72^4+4</f>
        <v>115</v>
      </c>
      <c r="I72" s="2" t="e">
        <f t="array" ref="I72">INDEX($G$3:$G$160,MATCH(0,COUNTIF(I$1:$I71,$G$3:$G$160),0))</f>
        <v>#N/A</v>
      </c>
      <c r="J72" s="2"/>
      <c r="K72" s="2"/>
      <c r="L72" s="31"/>
    </row>
    <row r="73" spans="1:12" x14ac:dyDescent="0.3">
      <c r="A73" s="2">
        <v>71</v>
      </c>
      <c r="B73" s="5" t="s">
        <v>71</v>
      </c>
      <c r="C73" s="6"/>
      <c r="D73" s="7" t="s">
        <v>150</v>
      </c>
      <c r="E73" s="7" t="s">
        <v>150</v>
      </c>
      <c r="F73" s="4">
        <v>4</v>
      </c>
      <c r="G73" s="2">
        <f>IFERROR(MATCH(C73,{"Mo";"Di";"Mi";"Do";"Fr"},0),0)^1+1*IFERROR(MATCH(D73,{"Mo";"Di";"Mi";"Do";"Fr"},0),0)^2+2*IFERROR(MATCH(E73,{"Mo";"Di";"Mi";"Do";"Fr"},0),0)^3+3*F73^4+4</f>
        <v>916</v>
      </c>
      <c r="I73" s="2" t="e">
        <f t="array" ref="I73">INDEX($G$3:$G$160,MATCH(0,COUNTIF(I$1:$I72,$G$3:$G$160),0))</f>
        <v>#N/A</v>
      </c>
      <c r="J73" s="2"/>
      <c r="K73" s="2"/>
      <c r="L73" s="31"/>
    </row>
    <row r="74" spans="1:12" x14ac:dyDescent="0.3">
      <c r="A74" s="2">
        <v>72</v>
      </c>
      <c r="B74" s="5" t="s">
        <v>3</v>
      </c>
      <c r="C74" s="7" t="s">
        <v>152</v>
      </c>
      <c r="D74" s="6"/>
      <c r="E74" s="7" t="s">
        <v>151</v>
      </c>
      <c r="F74" s="4">
        <v>3</v>
      </c>
      <c r="G74" s="2">
        <f>IFERROR(MATCH(C74,{"Mo";"Di";"Mi";"Do";"Fr"},0),0)^1+1*IFERROR(MATCH(D74,{"Mo";"Di";"Mi";"Do";"Fr"},0),0)^2+2*IFERROR(MATCH(E74,{"Mo";"Di";"Mi";"Do";"Fr"},0),0)^3+3*F74^4+4</f>
        <v>500</v>
      </c>
      <c r="I74" s="2" t="e">
        <f t="array" ref="I74">INDEX($G$3:$G$160,MATCH(0,COUNTIF(I$1:$I73,$G$3:$G$160),0))</f>
        <v>#N/A</v>
      </c>
      <c r="J74" s="2"/>
      <c r="K74" s="2"/>
      <c r="L74" s="31"/>
    </row>
    <row r="75" spans="1:12" x14ac:dyDescent="0.3">
      <c r="A75" s="2">
        <v>73</v>
      </c>
      <c r="B75" s="5" t="s">
        <v>72</v>
      </c>
      <c r="C75" s="6"/>
      <c r="D75" s="7" t="s">
        <v>152</v>
      </c>
      <c r="E75" s="7" t="s">
        <v>152</v>
      </c>
      <c r="F75" s="4">
        <v>2</v>
      </c>
      <c r="G75" s="2">
        <f>IFERROR(MATCH(C75,{"Mo";"Di";"Mi";"Do";"Fr"},0),0)^1+1*IFERROR(MATCH(D75,{"Mo";"Di";"Mi";"Do";"Fr"},0),0)^2+2*IFERROR(MATCH(E75,{"Mo";"Di";"Mi";"Do";"Fr"},0),0)^3+3*F75^4+4</f>
        <v>115</v>
      </c>
      <c r="I75" s="2" t="e">
        <f t="array" ref="I75">INDEX($G$3:$G$160,MATCH(0,COUNTIF(I$1:$I74,$G$3:$G$160),0))</f>
        <v>#N/A</v>
      </c>
      <c r="J75" s="2"/>
      <c r="K75" s="2"/>
      <c r="L75" s="31"/>
    </row>
    <row r="76" spans="1:12" x14ac:dyDescent="0.3">
      <c r="A76" s="2">
        <v>74</v>
      </c>
      <c r="B76" s="5" t="s">
        <v>73</v>
      </c>
      <c r="C76" s="6"/>
      <c r="D76" s="7" t="s">
        <v>150</v>
      </c>
      <c r="E76" s="7" t="s">
        <v>150</v>
      </c>
      <c r="F76" s="4">
        <v>4</v>
      </c>
      <c r="G76" s="2">
        <f>IFERROR(MATCH(C76,{"Mo";"Di";"Mi";"Do";"Fr"},0),0)^1+1*IFERROR(MATCH(D76,{"Mo";"Di";"Mi";"Do";"Fr"},0),0)^2+2*IFERROR(MATCH(E76,{"Mo";"Di";"Mi";"Do";"Fr"},0),0)^3+3*F76^4+4</f>
        <v>916</v>
      </c>
      <c r="I76" s="2" t="e">
        <f t="array" ref="I76">INDEX($G$3:$G$160,MATCH(0,COUNTIF(I$1:$I75,$G$3:$G$160),0))</f>
        <v>#N/A</v>
      </c>
      <c r="J76" s="2"/>
      <c r="K76" s="2"/>
      <c r="L76" s="31"/>
    </row>
    <row r="77" spans="1:12" x14ac:dyDescent="0.3">
      <c r="A77" s="2">
        <v>75</v>
      </c>
      <c r="B77" s="5" t="s">
        <v>74</v>
      </c>
      <c r="C77" s="6"/>
      <c r="D77" s="7" t="s">
        <v>152</v>
      </c>
      <c r="E77" s="7" t="s">
        <v>150</v>
      </c>
      <c r="F77" s="4">
        <v>1</v>
      </c>
      <c r="G77" s="2">
        <f>IFERROR(MATCH(C77,{"Mo";"Di";"Mi";"Do";"Fr"},0),0)^1+1*IFERROR(MATCH(D77,{"Mo";"Di";"Mi";"Do";"Fr"},0),0)^2+2*IFERROR(MATCH(E77,{"Mo";"Di";"Mi";"Do";"Fr"},0),0)^3+3*F77^4+4</f>
        <v>144</v>
      </c>
      <c r="I77" s="2" t="e">
        <f t="array" ref="I77">INDEX($G$3:$G$160,MATCH(0,COUNTIF(I$1:$I76,$G$3:$G$160),0))</f>
        <v>#N/A</v>
      </c>
      <c r="J77" s="2"/>
      <c r="K77" s="2"/>
      <c r="L77" s="31"/>
    </row>
    <row r="78" spans="1:12" x14ac:dyDescent="0.3">
      <c r="A78" s="2">
        <v>76</v>
      </c>
      <c r="B78" s="5" t="s">
        <v>75</v>
      </c>
      <c r="C78" s="6"/>
      <c r="D78" s="7" t="s">
        <v>152</v>
      </c>
      <c r="E78" s="7" t="s">
        <v>150</v>
      </c>
      <c r="F78" s="4">
        <v>1</v>
      </c>
      <c r="G78" s="2">
        <f>IFERROR(MATCH(C78,{"Mo";"Di";"Mi";"Do";"Fr"},0),0)^1+1*IFERROR(MATCH(D78,{"Mo";"Di";"Mi";"Do";"Fr"},0),0)^2+2*IFERROR(MATCH(E78,{"Mo";"Di";"Mi";"Do";"Fr"},0),0)^3+3*F78^4+4</f>
        <v>144</v>
      </c>
      <c r="I78" s="2" t="e">
        <f t="array" ref="I78">INDEX($G$3:$G$160,MATCH(0,COUNTIF(I$1:$I77,$G$3:$G$160),0))</f>
        <v>#N/A</v>
      </c>
      <c r="J78" s="2"/>
      <c r="K78" s="2"/>
      <c r="L78" s="31"/>
    </row>
    <row r="79" spans="1:12" x14ac:dyDescent="0.3">
      <c r="A79" s="2">
        <v>77</v>
      </c>
      <c r="B79" s="5" t="s">
        <v>172</v>
      </c>
      <c r="C79" s="6"/>
      <c r="D79" s="7" t="s">
        <v>151</v>
      </c>
      <c r="E79" s="7" t="s">
        <v>151</v>
      </c>
      <c r="F79" s="4">
        <v>1</v>
      </c>
      <c r="G79" s="2">
        <f>IFERROR(MATCH(C79,{"Mo";"Di";"Mi";"Do";"Fr"},0),0)^1+1*IFERROR(MATCH(D79,{"Mo";"Di";"Mi";"Do";"Fr"},0),0)^2+2*IFERROR(MATCH(E79,{"Mo";"Di";"Mi";"Do";"Fr"},0),0)^3+3*F79^4+4</f>
        <v>282</v>
      </c>
      <c r="I79" s="2" t="e">
        <f t="array" ref="I79">INDEX($G$3:$G$160,MATCH(0,COUNTIF(I$1:$I78,$G$3:$G$160),0))</f>
        <v>#N/A</v>
      </c>
      <c r="J79" s="2"/>
      <c r="K79" s="2"/>
      <c r="L79" s="31"/>
    </row>
    <row r="80" spans="1:12" x14ac:dyDescent="0.3">
      <c r="A80" s="2">
        <v>78</v>
      </c>
      <c r="B80" s="5" t="s">
        <v>173</v>
      </c>
      <c r="C80" s="6"/>
      <c r="D80" s="7" t="s">
        <v>152</v>
      </c>
      <c r="E80" s="7" t="s">
        <v>150</v>
      </c>
      <c r="F80" s="4">
        <v>1</v>
      </c>
      <c r="G80" s="2">
        <f>IFERROR(MATCH(C80,{"Mo";"Di";"Mi";"Do";"Fr"},0),0)^1+1*IFERROR(MATCH(D80,{"Mo";"Di";"Mi";"Do";"Fr"},0),0)^2+2*IFERROR(MATCH(E80,{"Mo";"Di";"Mi";"Do";"Fr"},0),0)^3+3*F80^4+4</f>
        <v>144</v>
      </c>
      <c r="I80" s="2" t="e">
        <f t="array" ref="I80">INDEX($G$3:$G$160,MATCH(0,COUNTIF(I$1:$I79,$G$3:$G$160),0))</f>
        <v>#N/A</v>
      </c>
      <c r="J80" s="2"/>
      <c r="K80" s="2"/>
      <c r="L80" s="31"/>
    </row>
    <row r="81" spans="1:12" x14ac:dyDescent="0.3">
      <c r="A81" s="2">
        <v>79</v>
      </c>
      <c r="B81" s="5" t="s">
        <v>76</v>
      </c>
      <c r="C81" s="6"/>
      <c r="D81" s="7" t="s">
        <v>152</v>
      </c>
      <c r="E81" s="7" t="s">
        <v>152</v>
      </c>
      <c r="F81" s="4">
        <v>2</v>
      </c>
      <c r="G81" s="2">
        <f>IFERROR(MATCH(C81,{"Mo";"Di";"Mi";"Do";"Fr"},0),0)^1+1*IFERROR(MATCH(D81,{"Mo";"Di";"Mi";"Do";"Fr"},0),0)^2+2*IFERROR(MATCH(E81,{"Mo";"Di";"Mi";"Do";"Fr"},0),0)^3+3*F81^4+4</f>
        <v>115</v>
      </c>
      <c r="I81" s="2" t="e">
        <f t="array" ref="I81">INDEX($G$3:$G$160,MATCH(0,COUNTIF(I$1:$I80,$G$3:$G$160),0))</f>
        <v>#N/A</v>
      </c>
      <c r="J81" s="2"/>
      <c r="K81" s="2"/>
      <c r="L81" s="31"/>
    </row>
    <row r="82" spans="1:12" x14ac:dyDescent="0.3">
      <c r="A82" s="2">
        <v>80</v>
      </c>
      <c r="B82" s="5" t="s">
        <v>77</v>
      </c>
      <c r="C82" s="7" t="s">
        <v>152</v>
      </c>
      <c r="D82" s="6"/>
      <c r="E82" s="7" t="s">
        <v>150</v>
      </c>
      <c r="F82" s="4">
        <v>3</v>
      </c>
      <c r="G82" s="2">
        <f>IFERROR(MATCH(C82,{"Mo";"Di";"Mi";"Do";"Fr"},0),0)^1+1*IFERROR(MATCH(D82,{"Mo";"Di";"Mi";"Do";"Fr"},0),0)^2+2*IFERROR(MATCH(E82,{"Mo";"Di";"Mi";"Do";"Fr"},0),0)^3+3*F82^4+4</f>
        <v>378</v>
      </c>
      <c r="I82" s="2" t="e">
        <f t="array" ref="I82">INDEX($G$3:$G$160,MATCH(0,COUNTIF(I$1:$I81,$G$3:$G$160),0))</f>
        <v>#N/A</v>
      </c>
      <c r="J82" s="2"/>
      <c r="K82" s="2"/>
      <c r="L82" s="31"/>
    </row>
    <row r="83" spans="1:12" x14ac:dyDescent="0.3">
      <c r="A83" s="2">
        <v>81</v>
      </c>
      <c r="B83" s="5" t="s">
        <v>78</v>
      </c>
      <c r="C83" s="6"/>
      <c r="D83" s="7" t="s">
        <v>150</v>
      </c>
      <c r="E83" s="7" t="s">
        <v>150</v>
      </c>
      <c r="F83" s="4">
        <v>4</v>
      </c>
      <c r="G83" s="2">
        <f>IFERROR(MATCH(C83,{"Mo";"Di";"Mi";"Do";"Fr"},0),0)^1+1*IFERROR(MATCH(D83,{"Mo";"Di";"Mi";"Do";"Fr"},0),0)^2+2*IFERROR(MATCH(E83,{"Mo";"Di";"Mi";"Do";"Fr"},0),0)^3+3*F83^4+4</f>
        <v>916</v>
      </c>
      <c r="I83" s="2" t="e">
        <f t="array" ref="I83">INDEX($G$3:$G$160,MATCH(0,COUNTIF(I$1:$I82,$G$3:$G$160),0))</f>
        <v>#N/A</v>
      </c>
      <c r="J83" s="2"/>
      <c r="K83" s="2"/>
      <c r="L83" s="31"/>
    </row>
    <row r="84" spans="1:12" x14ac:dyDescent="0.3">
      <c r="A84" s="2">
        <v>82</v>
      </c>
      <c r="B84" s="5" t="s">
        <v>79</v>
      </c>
      <c r="C84" s="6"/>
      <c r="D84" s="7" t="s">
        <v>151</v>
      </c>
      <c r="E84" s="7" t="s">
        <v>151</v>
      </c>
      <c r="F84" s="4">
        <v>3</v>
      </c>
      <c r="G84" s="2">
        <f>IFERROR(MATCH(C84,{"Mo";"Di";"Mi";"Do";"Fr"},0),0)^1+1*IFERROR(MATCH(D84,{"Mo";"Di";"Mi";"Do";"Fr"},0),0)^2+2*IFERROR(MATCH(E84,{"Mo";"Di";"Mi";"Do";"Fr"},0),0)^3+3*F84^4+4</f>
        <v>522</v>
      </c>
      <c r="I84" s="2" t="e">
        <f t="array" ref="I84">INDEX($G$3:$G$160,MATCH(0,COUNTIF(I$1:$I83,$G$3:$G$160),0))</f>
        <v>#N/A</v>
      </c>
      <c r="J84" s="2"/>
      <c r="K84" s="2"/>
      <c r="L84" s="31"/>
    </row>
    <row r="85" spans="1:12" x14ac:dyDescent="0.3">
      <c r="A85" s="2">
        <v>83</v>
      </c>
      <c r="B85" s="5" t="s">
        <v>80</v>
      </c>
      <c r="C85" s="6"/>
      <c r="D85" s="7" t="s">
        <v>152</v>
      </c>
      <c r="E85" s="7" t="s">
        <v>152</v>
      </c>
      <c r="F85" s="4">
        <v>2</v>
      </c>
      <c r="G85" s="2">
        <f>IFERROR(MATCH(C85,{"Mo";"Di";"Mi";"Do";"Fr"},0),0)^1+1*IFERROR(MATCH(D85,{"Mo";"Di";"Mi";"Do";"Fr"},0),0)^2+2*IFERROR(MATCH(E85,{"Mo";"Di";"Mi";"Do";"Fr"},0),0)^3+3*F85^4+4</f>
        <v>115</v>
      </c>
      <c r="I85" s="2" t="e">
        <f t="array" ref="I85">INDEX($G$3:$G$160,MATCH(0,COUNTIF(I$1:$I84,$G$3:$G$160),0))</f>
        <v>#N/A</v>
      </c>
      <c r="J85" s="2"/>
      <c r="K85" s="2"/>
      <c r="L85" s="31"/>
    </row>
    <row r="86" spans="1:12" x14ac:dyDescent="0.3">
      <c r="A86" s="2">
        <v>84</v>
      </c>
      <c r="B86" s="5" t="s">
        <v>81</v>
      </c>
      <c r="C86" s="6"/>
      <c r="D86" s="7" t="s">
        <v>152</v>
      </c>
      <c r="E86" s="7" t="s">
        <v>150</v>
      </c>
      <c r="F86" s="4">
        <v>1</v>
      </c>
      <c r="G86" s="2">
        <f>IFERROR(MATCH(C86,{"Mo";"Di";"Mi";"Do";"Fr"},0),0)^1+1*IFERROR(MATCH(D86,{"Mo";"Di";"Mi";"Do";"Fr"},0),0)^2+2*IFERROR(MATCH(E86,{"Mo";"Di";"Mi";"Do";"Fr"},0),0)^3+3*F86^4+4</f>
        <v>144</v>
      </c>
      <c r="I86" s="2" t="e">
        <f t="array" ref="I86">INDEX($G$3:$G$160,MATCH(0,COUNTIF(I$1:$I85,$G$3:$G$160),0))</f>
        <v>#N/A</v>
      </c>
      <c r="J86" s="2"/>
      <c r="K86" s="2"/>
      <c r="L86" s="31"/>
    </row>
    <row r="87" spans="1:12" x14ac:dyDescent="0.3">
      <c r="A87" s="2">
        <v>85</v>
      </c>
      <c r="B87" s="5" t="s">
        <v>82</v>
      </c>
      <c r="C87" s="6"/>
      <c r="D87" s="7" t="s">
        <v>151</v>
      </c>
      <c r="E87" s="7" t="s">
        <v>151</v>
      </c>
      <c r="F87" s="4">
        <v>4</v>
      </c>
      <c r="G87" s="2">
        <f>IFERROR(MATCH(C87,{"Mo";"Di";"Mi";"Do";"Fr"},0),0)^1+1*IFERROR(MATCH(D87,{"Mo";"Di";"Mi";"Do";"Fr"},0),0)^2+2*IFERROR(MATCH(E87,{"Mo";"Di";"Mi";"Do";"Fr"},0),0)^3+3*F87^4+4</f>
        <v>1047</v>
      </c>
      <c r="I87" s="2" t="e">
        <f t="array" ref="I87">INDEX($G$3:$G$160,MATCH(0,COUNTIF(I$1:$I86,$G$3:$G$160),0))</f>
        <v>#N/A</v>
      </c>
      <c r="J87" s="2"/>
      <c r="K87" s="2"/>
      <c r="L87" s="31"/>
    </row>
    <row r="88" spans="1:12" x14ac:dyDescent="0.3">
      <c r="A88" s="2">
        <v>86</v>
      </c>
      <c r="B88" s="5" t="s">
        <v>83</v>
      </c>
      <c r="C88" s="6"/>
      <c r="D88" s="7" t="s">
        <v>151</v>
      </c>
      <c r="E88" s="7" t="s">
        <v>151</v>
      </c>
      <c r="F88" s="4">
        <v>1</v>
      </c>
      <c r="G88" s="2">
        <f>IFERROR(MATCH(C88,{"Mo";"Di";"Mi";"Do";"Fr"},0),0)^1+1*IFERROR(MATCH(D88,{"Mo";"Di";"Mi";"Do";"Fr"},0),0)^2+2*IFERROR(MATCH(E88,{"Mo";"Di";"Mi";"Do";"Fr"},0),0)^3+3*F88^4+4</f>
        <v>282</v>
      </c>
      <c r="I88" s="2" t="e">
        <f t="array" ref="I88">INDEX($G$3:$G$160,MATCH(0,COUNTIF(I$1:$I87,$G$3:$G$160),0))</f>
        <v>#N/A</v>
      </c>
      <c r="J88" s="2"/>
      <c r="K88" s="2"/>
      <c r="L88" s="31"/>
    </row>
    <row r="89" spans="1:12" x14ac:dyDescent="0.3">
      <c r="A89" s="2">
        <v>87</v>
      </c>
      <c r="B89" s="5" t="s">
        <v>84</v>
      </c>
      <c r="C89" s="6"/>
      <c r="D89" s="7" t="s">
        <v>150</v>
      </c>
      <c r="E89" s="7" t="s">
        <v>150</v>
      </c>
      <c r="F89" s="4">
        <v>4</v>
      </c>
      <c r="G89" s="2">
        <f>IFERROR(MATCH(C89,{"Mo";"Di";"Mi";"Do";"Fr"},0),0)^1+1*IFERROR(MATCH(D89,{"Mo";"Di";"Mi";"Do";"Fr"},0),0)^2+2*IFERROR(MATCH(E89,{"Mo";"Di";"Mi";"Do";"Fr"},0),0)^3+3*F89^4+4</f>
        <v>916</v>
      </c>
      <c r="I89" s="2" t="e">
        <f t="array" ref="I89">INDEX($G$3:$G$160,MATCH(0,COUNTIF(I$1:$I88,$G$3:$G$160),0))</f>
        <v>#N/A</v>
      </c>
      <c r="J89" s="2"/>
      <c r="K89" s="2"/>
      <c r="L89" s="31"/>
    </row>
    <row r="90" spans="1:12" x14ac:dyDescent="0.3">
      <c r="A90" s="2">
        <v>88</v>
      </c>
      <c r="B90" s="5" t="s">
        <v>85</v>
      </c>
      <c r="C90" s="6"/>
      <c r="D90" s="7" t="s">
        <v>151</v>
      </c>
      <c r="E90" s="7" t="s">
        <v>151</v>
      </c>
      <c r="F90" s="4">
        <v>1</v>
      </c>
      <c r="G90" s="2">
        <f>IFERROR(MATCH(C90,{"Mo";"Di";"Mi";"Do";"Fr"},0),0)^1+1*IFERROR(MATCH(D90,{"Mo";"Di";"Mi";"Do";"Fr"},0),0)^2+2*IFERROR(MATCH(E90,{"Mo";"Di";"Mi";"Do";"Fr"},0),0)^3+3*F90^4+4</f>
        <v>282</v>
      </c>
      <c r="I90" s="2" t="e">
        <f t="array" ref="I90">INDEX($G$3:$G$160,MATCH(0,COUNTIF(I$1:$I89,$G$3:$G$160),0))</f>
        <v>#N/A</v>
      </c>
      <c r="J90" s="2"/>
      <c r="K90" s="2"/>
      <c r="L90" s="31"/>
    </row>
    <row r="91" spans="1:12" x14ac:dyDescent="0.3">
      <c r="A91" s="2">
        <v>89</v>
      </c>
      <c r="B91" s="5" t="s">
        <v>86</v>
      </c>
      <c r="C91" s="6"/>
      <c r="D91" s="7" t="s">
        <v>151</v>
      </c>
      <c r="E91" s="7" t="s">
        <v>151</v>
      </c>
      <c r="F91" s="4">
        <v>1</v>
      </c>
      <c r="G91" s="2">
        <f>IFERROR(MATCH(C91,{"Mo";"Di";"Mi";"Do";"Fr"},0),0)^1+1*IFERROR(MATCH(D91,{"Mo";"Di";"Mi";"Do";"Fr"},0),0)^2+2*IFERROR(MATCH(E91,{"Mo";"Di";"Mi";"Do";"Fr"},0),0)^3+3*F91^4+4</f>
        <v>282</v>
      </c>
      <c r="I91" s="2" t="e">
        <f t="array" ref="I91">INDEX($G$3:$G$160,MATCH(0,COUNTIF(I$1:$I90,$G$3:$G$160),0))</f>
        <v>#N/A</v>
      </c>
      <c r="J91" s="2"/>
      <c r="K91" s="2"/>
      <c r="L91" s="31"/>
    </row>
    <row r="92" spans="1:12" x14ac:dyDescent="0.3">
      <c r="A92" s="2">
        <v>90</v>
      </c>
      <c r="B92" s="5" t="s">
        <v>87</v>
      </c>
      <c r="C92" s="6"/>
      <c r="D92" s="7" t="s">
        <v>152</v>
      </c>
      <c r="E92" s="7" t="s">
        <v>150</v>
      </c>
      <c r="F92" s="4">
        <v>1</v>
      </c>
      <c r="G92" s="2">
        <f>IFERROR(MATCH(C92,{"Mo";"Di";"Mi";"Do";"Fr"},0),0)^1+1*IFERROR(MATCH(D92,{"Mo";"Di";"Mi";"Do";"Fr"},0),0)^2+2*IFERROR(MATCH(E92,{"Mo";"Di";"Mi";"Do";"Fr"},0),0)^3+3*F92^4+4</f>
        <v>144</v>
      </c>
      <c r="I92" s="2" t="e">
        <f t="array" ref="I92">INDEX($G$3:$G$160,MATCH(0,COUNTIF(I$1:$I91,$G$3:$G$160),0))</f>
        <v>#N/A</v>
      </c>
      <c r="J92" s="2"/>
      <c r="K92" s="2"/>
      <c r="L92" s="31"/>
    </row>
    <row r="93" spans="1:12" x14ac:dyDescent="0.3">
      <c r="A93" s="2">
        <v>91</v>
      </c>
      <c r="B93" s="5" t="s">
        <v>88</v>
      </c>
      <c r="C93" s="6"/>
      <c r="D93" s="7" t="s">
        <v>150</v>
      </c>
      <c r="E93" s="7" t="s">
        <v>150</v>
      </c>
      <c r="F93" s="4">
        <v>4</v>
      </c>
      <c r="G93" s="2">
        <f>IFERROR(MATCH(C93,{"Mo";"Di";"Mi";"Do";"Fr"},0),0)^1+1*IFERROR(MATCH(D93,{"Mo";"Di";"Mi";"Do";"Fr"},0),0)^2+2*IFERROR(MATCH(E93,{"Mo";"Di";"Mi";"Do";"Fr"},0),0)^3+3*F93^4+4</f>
        <v>916</v>
      </c>
      <c r="I93" s="2" t="e">
        <f t="array" ref="I93">INDEX($G$3:$G$160,MATCH(0,COUNTIF(I$1:$I92,$G$3:$G$160),0))</f>
        <v>#N/A</v>
      </c>
      <c r="J93" s="2"/>
      <c r="K93" s="2"/>
      <c r="L93" s="31"/>
    </row>
    <row r="94" spans="1:12" x14ac:dyDescent="0.3">
      <c r="A94" s="2">
        <v>92</v>
      </c>
      <c r="B94" s="5" t="s">
        <v>89</v>
      </c>
      <c r="C94" s="6"/>
      <c r="D94" s="7" t="s">
        <v>151</v>
      </c>
      <c r="E94" s="7" t="s">
        <v>151</v>
      </c>
      <c r="F94" s="4">
        <v>3</v>
      </c>
      <c r="G94" s="2">
        <f>IFERROR(MATCH(C94,{"Mo";"Di";"Mi";"Do";"Fr"},0),0)^1+1*IFERROR(MATCH(D94,{"Mo";"Di";"Mi";"Do";"Fr"},0),0)^2+2*IFERROR(MATCH(E94,{"Mo";"Di";"Mi";"Do";"Fr"},0),0)^3+3*F94^4+4</f>
        <v>522</v>
      </c>
      <c r="I94" s="2" t="e">
        <f t="array" ref="I94">INDEX($G$3:$G$160,MATCH(0,COUNTIF(I$1:$I93,$G$3:$G$160),0))</f>
        <v>#N/A</v>
      </c>
      <c r="J94" s="2"/>
      <c r="K94" s="2"/>
      <c r="L94" s="31"/>
    </row>
    <row r="95" spans="1:12" x14ac:dyDescent="0.3">
      <c r="A95" s="2">
        <v>93</v>
      </c>
      <c r="B95" s="5" t="s">
        <v>90</v>
      </c>
      <c r="C95" s="6"/>
      <c r="D95" s="7" t="s">
        <v>152</v>
      </c>
      <c r="E95" s="7" t="s">
        <v>152</v>
      </c>
      <c r="F95" s="4">
        <v>2</v>
      </c>
      <c r="G95" s="2">
        <f>IFERROR(MATCH(C95,{"Mo";"Di";"Mi";"Do";"Fr"},0),0)^1+1*IFERROR(MATCH(D95,{"Mo";"Di";"Mi";"Do";"Fr"},0),0)^2+2*IFERROR(MATCH(E95,{"Mo";"Di";"Mi";"Do";"Fr"},0),0)^3+3*F95^4+4</f>
        <v>115</v>
      </c>
      <c r="I95" s="2" t="e">
        <f t="array" ref="I95">INDEX($G$3:$G$160,MATCH(0,COUNTIF(I$1:$I94,$G$3:$G$160),0))</f>
        <v>#N/A</v>
      </c>
      <c r="J95" s="2"/>
      <c r="K95" s="2"/>
      <c r="L95" s="31"/>
    </row>
    <row r="96" spans="1:12" x14ac:dyDescent="0.3">
      <c r="A96" s="2">
        <v>94</v>
      </c>
      <c r="B96" s="5" t="s">
        <v>91</v>
      </c>
      <c r="C96" s="6"/>
      <c r="D96" s="7" t="s">
        <v>150</v>
      </c>
      <c r="E96" s="7" t="s">
        <v>150</v>
      </c>
      <c r="F96" s="4">
        <v>4</v>
      </c>
      <c r="G96" s="2">
        <f>IFERROR(MATCH(C96,{"Mo";"Di";"Mi";"Do";"Fr"},0),0)^1+1*IFERROR(MATCH(D96,{"Mo";"Di";"Mi";"Do";"Fr"},0),0)^2+2*IFERROR(MATCH(E96,{"Mo";"Di";"Mi";"Do";"Fr"},0),0)^3+3*F96^4+4</f>
        <v>916</v>
      </c>
      <c r="I96" s="2" t="e">
        <f t="array" ref="I96">INDEX($G$3:$G$160,MATCH(0,COUNTIF(I$1:$I95,$G$3:$G$160),0))</f>
        <v>#N/A</v>
      </c>
      <c r="J96" s="2"/>
      <c r="K96" s="2"/>
      <c r="L96" s="31"/>
    </row>
    <row r="97" spans="1:12" x14ac:dyDescent="0.3">
      <c r="A97" s="2">
        <v>95</v>
      </c>
      <c r="B97" s="5" t="s">
        <v>195</v>
      </c>
      <c r="C97" s="6"/>
      <c r="D97" s="7" t="s">
        <v>152</v>
      </c>
      <c r="E97" s="7" t="s">
        <v>152</v>
      </c>
      <c r="F97" s="4">
        <v>1</v>
      </c>
      <c r="G97" s="2">
        <f>IFERROR(MATCH(C97,{"Mo";"Di";"Mi";"Do";"Fr"},0),0)^1+1*IFERROR(MATCH(D97,{"Mo";"Di";"Mi";"Do";"Fr"},0),0)^2+2*IFERROR(MATCH(E97,{"Mo";"Di";"Mi";"Do";"Fr"},0),0)^3+3*F97^4+4</f>
        <v>70</v>
      </c>
      <c r="I97" s="2" t="e">
        <f t="array" ref="I97">INDEX($G$3:$G$160,MATCH(0,COUNTIF(I$1:$I96,$G$3:$G$160),0))</f>
        <v>#N/A</v>
      </c>
      <c r="J97" s="2"/>
      <c r="K97" s="2"/>
      <c r="L97" s="31"/>
    </row>
    <row r="98" spans="1:12" x14ac:dyDescent="0.3">
      <c r="A98" s="2">
        <v>96</v>
      </c>
      <c r="B98" s="5" t="s">
        <v>196</v>
      </c>
      <c r="C98" s="6"/>
      <c r="D98" s="7" t="s">
        <v>152</v>
      </c>
      <c r="E98" s="7" t="s">
        <v>152</v>
      </c>
      <c r="F98" s="4">
        <v>2</v>
      </c>
      <c r="G98" s="2">
        <f>IFERROR(MATCH(C98,{"Mo";"Di";"Mi";"Do";"Fr"},0),0)^1+1*IFERROR(MATCH(D98,{"Mo";"Di";"Mi";"Do";"Fr"},0),0)^2+2*IFERROR(MATCH(E98,{"Mo";"Di";"Mi";"Do";"Fr"},0),0)^3+3*F98^4+4</f>
        <v>115</v>
      </c>
      <c r="I98" s="2"/>
      <c r="J98" s="2"/>
      <c r="K98" s="2"/>
      <c r="L98" s="31"/>
    </row>
    <row r="99" spans="1:12" x14ac:dyDescent="0.3">
      <c r="A99" s="2">
        <v>97</v>
      </c>
      <c r="B99" s="5" t="s">
        <v>92</v>
      </c>
      <c r="C99" s="6"/>
      <c r="D99" s="7" t="s">
        <v>150</v>
      </c>
      <c r="E99" s="7" t="s">
        <v>150</v>
      </c>
      <c r="F99" s="4">
        <v>3</v>
      </c>
      <c r="G99" s="2">
        <f>IFERROR(MATCH(C99,{"Mo";"Di";"Mi";"Do";"Fr"},0),0)^1+1*IFERROR(MATCH(D99,{"Mo";"Di";"Mi";"Do";"Fr"},0),0)^2+2*IFERROR(MATCH(E99,{"Mo";"Di";"Mi";"Do";"Fr"},0),0)^3+3*F99^4+4</f>
        <v>391</v>
      </c>
      <c r="I99" s="2" t="e">
        <f t="array" ref="I99">INDEX($G$3:$G$160,MATCH(0,COUNTIF(I$1:$I97,$G$3:$G$160),0))</f>
        <v>#N/A</v>
      </c>
      <c r="J99" s="2"/>
      <c r="K99" s="2"/>
      <c r="L99" s="31"/>
    </row>
    <row r="100" spans="1:12" x14ac:dyDescent="0.3">
      <c r="A100" s="2">
        <v>98</v>
      </c>
      <c r="B100" s="5" t="s">
        <v>93</v>
      </c>
      <c r="C100" s="6"/>
      <c r="D100" s="7" t="s">
        <v>151</v>
      </c>
      <c r="E100" s="7" t="s">
        <v>151</v>
      </c>
      <c r="F100" s="4">
        <v>1</v>
      </c>
      <c r="G100" s="2">
        <f>IFERROR(MATCH(C100,{"Mo";"Di";"Mi";"Do";"Fr"},0),0)^1+1*IFERROR(MATCH(D100,{"Mo";"Di";"Mi";"Do";"Fr"},0),0)^2+2*IFERROR(MATCH(E100,{"Mo";"Di";"Mi";"Do";"Fr"},0),0)^3+3*F100^4+4</f>
        <v>282</v>
      </c>
      <c r="I100" s="2" t="e">
        <f t="array" ref="I100">INDEX($G$3:$G$160,MATCH(0,COUNTIF(I$1:$I99,$G$3:$G$160),0))</f>
        <v>#N/A</v>
      </c>
      <c r="J100" s="2"/>
      <c r="K100" s="2"/>
      <c r="L100" s="31"/>
    </row>
    <row r="101" spans="1:12" x14ac:dyDescent="0.3">
      <c r="A101" s="2">
        <v>99</v>
      </c>
      <c r="B101" s="5" t="s">
        <v>94</v>
      </c>
      <c r="C101" s="6"/>
      <c r="D101" s="7" t="s">
        <v>152</v>
      </c>
      <c r="E101" s="7" t="s">
        <v>152</v>
      </c>
      <c r="F101" s="4">
        <v>2</v>
      </c>
      <c r="G101" s="2">
        <f>IFERROR(MATCH(C101,{"Mo";"Di";"Mi";"Do";"Fr"},0),0)^1+1*IFERROR(MATCH(D101,{"Mo";"Di";"Mi";"Do";"Fr"},0),0)^2+2*IFERROR(MATCH(E101,{"Mo";"Di";"Mi";"Do";"Fr"},0),0)^3+3*F101^4+4</f>
        <v>115</v>
      </c>
      <c r="I101" s="2" t="e">
        <f t="array" ref="I101">INDEX($G$3:$G$160,MATCH(0,COUNTIF(I$1:$I100,$G$3:$G$160),0))</f>
        <v>#N/A</v>
      </c>
      <c r="J101" s="2"/>
      <c r="K101" s="2"/>
      <c r="L101" s="31"/>
    </row>
    <row r="102" spans="1:12" x14ac:dyDescent="0.3">
      <c r="A102" s="2">
        <v>100</v>
      </c>
      <c r="B102" s="5" t="s">
        <v>95</v>
      </c>
      <c r="C102" s="6"/>
      <c r="D102" s="7" t="s">
        <v>152</v>
      </c>
      <c r="E102" s="7" t="s">
        <v>152</v>
      </c>
      <c r="F102" s="4">
        <v>2</v>
      </c>
      <c r="G102" s="2">
        <f>IFERROR(MATCH(C102,{"Mo";"Di";"Mi";"Do";"Fr"},0),0)^1+1*IFERROR(MATCH(D102,{"Mo";"Di";"Mi";"Do";"Fr"},0),0)^2+2*IFERROR(MATCH(E102,{"Mo";"Di";"Mi";"Do";"Fr"},0),0)^3+3*F102^4+4</f>
        <v>115</v>
      </c>
      <c r="I102" s="2" t="e">
        <f t="array" ref="I102">INDEX($G$3:$G$160,MATCH(0,COUNTIF(I$1:$I101,$G$3:$G$160),0))</f>
        <v>#N/A</v>
      </c>
      <c r="J102" s="2"/>
      <c r="K102" s="2"/>
      <c r="L102" s="31"/>
    </row>
    <row r="103" spans="1:12" ht="27.6" x14ac:dyDescent="0.3">
      <c r="A103" s="2">
        <v>101</v>
      </c>
      <c r="B103" s="5" t="s">
        <v>96</v>
      </c>
      <c r="C103" s="6"/>
      <c r="D103" s="6" t="s">
        <v>154</v>
      </c>
      <c r="E103" s="6" t="s">
        <v>154</v>
      </c>
      <c r="F103" s="4">
        <v>1</v>
      </c>
      <c r="G103" s="2">
        <f>IFERROR(MATCH(C103,{"Mo";"Di";"Mi";"Do";"Fr"},0),0)^1+1*IFERROR(MATCH(D103,{"Mo";"Di";"Mi";"Do";"Fr"},0),0)^2+2*IFERROR(MATCH(E103,{"Mo";"Di";"Mi";"Do";"Fr"},0),0)^3+3*F103^4+4</f>
        <v>7</v>
      </c>
      <c r="I103" s="2" t="e">
        <f t="array" ref="I103">INDEX($G$3:$G$160,MATCH(0,COUNTIF(I$1:$I102,$G$3:$G$160),0))</f>
        <v>#N/A</v>
      </c>
      <c r="J103" s="2"/>
      <c r="K103" s="2"/>
      <c r="L103" s="31"/>
    </row>
    <row r="104" spans="1:12" x14ac:dyDescent="0.3">
      <c r="A104" s="2">
        <v>102</v>
      </c>
      <c r="B104" s="5" t="s">
        <v>97</v>
      </c>
      <c r="C104" s="7" t="s">
        <v>152</v>
      </c>
      <c r="D104" s="6"/>
      <c r="E104" s="7" t="s">
        <v>151</v>
      </c>
      <c r="F104" s="4">
        <v>2</v>
      </c>
      <c r="G104" s="2">
        <f>IFERROR(MATCH(C104,{"Mo";"Di";"Mi";"Do";"Fr"},0),0)^1+1*IFERROR(MATCH(D104,{"Mo";"Di";"Mi";"Do";"Fr"},0),0)^2+2*IFERROR(MATCH(E104,{"Mo";"Di";"Mi";"Do";"Fr"},0),0)^3+3*F104^4+4</f>
        <v>305</v>
      </c>
      <c r="I104" s="2" t="e">
        <f t="array" ref="I104">INDEX($G$3:$G$160,MATCH(0,COUNTIF(I$1:$I103,$G$3:$G$160),0))</f>
        <v>#N/A</v>
      </c>
      <c r="J104" s="2"/>
      <c r="K104" s="2"/>
      <c r="L104" s="31"/>
    </row>
    <row r="105" spans="1:12" x14ac:dyDescent="0.3">
      <c r="A105" s="2">
        <v>103</v>
      </c>
      <c r="B105" s="5" t="s">
        <v>98</v>
      </c>
      <c r="C105" s="6"/>
      <c r="D105" s="7" t="s">
        <v>151</v>
      </c>
      <c r="E105" s="7" t="s">
        <v>151</v>
      </c>
      <c r="F105" s="4">
        <v>3</v>
      </c>
      <c r="G105" s="2">
        <f>IFERROR(MATCH(C105,{"Mo";"Di";"Mi";"Do";"Fr"},0),0)^1+1*IFERROR(MATCH(D105,{"Mo";"Di";"Mi";"Do";"Fr"},0),0)^2+2*IFERROR(MATCH(E105,{"Mo";"Di";"Mi";"Do";"Fr"},0),0)^3+3*F105^4+4</f>
        <v>522</v>
      </c>
      <c r="I105" s="2" t="e">
        <f t="array" ref="I105">INDEX($G$3:$G$160,MATCH(0,COUNTIF(I$1:$I104,$G$3:$G$160),0))</f>
        <v>#N/A</v>
      </c>
      <c r="J105" s="2"/>
      <c r="K105" s="2"/>
      <c r="L105" s="31"/>
    </row>
    <row r="106" spans="1:12" x14ac:dyDescent="0.3">
      <c r="A106" s="2">
        <v>104</v>
      </c>
      <c r="B106" s="5" t="s">
        <v>99</v>
      </c>
      <c r="C106" s="6"/>
      <c r="D106" s="7" t="s">
        <v>151</v>
      </c>
      <c r="E106" s="7" t="s">
        <v>151</v>
      </c>
      <c r="F106" s="4">
        <v>1</v>
      </c>
      <c r="G106" s="2">
        <f>IFERROR(MATCH(C106,{"Mo";"Di";"Mi";"Do";"Fr"},0),0)^1+1*IFERROR(MATCH(D106,{"Mo";"Di";"Mi";"Do";"Fr"},0),0)^2+2*IFERROR(MATCH(E106,{"Mo";"Di";"Mi";"Do";"Fr"},0),0)^3+3*F106^4+4</f>
        <v>282</v>
      </c>
      <c r="I106" s="2" t="e">
        <f t="array" ref="I106">INDEX($G$3:$G$160,MATCH(0,COUNTIF(I$1:$I105,$G$3:$G$160),0))</f>
        <v>#N/A</v>
      </c>
      <c r="J106" s="2"/>
      <c r="K106" s="2"/>
      <c r="L106" s="31"/>
    </row>
    <row r="107" spans="1:12" x14ac:dyDescent="0.3">
      <c r="A107" s="2">
        <v>105</v>
      </c>
      <c r="B107" s="5" t="s">
        <v>100</v>
      </c>
      <c r="C107" s="7" t="s">
        <v>152</v>
      </c>
      <c r="D107" s="6"/>
      <c r="E107" s="7" t="s">
        <v>151</v>
      </c>
      <c r="F107" s="4">
        <v>2</v>
      </c>
      <c r="G107" s="2">
        <f>IFERROR(MATCH(C107,{"Mo";"Di";"Mi";"Do";"Fr"},0),0)^1+1*IFERROR(MATCH(D107,{"Mo";"Di";"Mi";"Do";"Fr"},0),0)^2+2*IFERROR(MATCH(E107,{"Mo";"Di";"Mi";"Do";"Fr"},0),0)^3+3*F107^4+4</f>
        <v>305</v>
      </c>
      <c r="I107" s="2" t="e">
        <f t="array" ref="I107">INDEX($G$3:$G$160,MATCH(0,COUNTIF(I$1:$I106,$G$3:$G$160),0))</f>
        <v>#N/A</v>
      </c>
      <c r="J107" s="2"/>
      <c r="K107" s="2"/>
      <c r="L107" s="31"/>
    </row>
    <row r="108" spans="1:12" x14ac:dyDescent="0.3">
      <c r="A108" s="2">
        <v>106</v>
      </c>
      <c r="B108" s="5" t="s">
        <v>101</v>
      </c>
      <c r="C108" s="6"/>
      <c r="D108" s="7" t="s">
        <v>152</v>
      </c>
      <c r="E108" s="7" t="s">
        <v>152</v>
      </c>
      <c r="F108" s="4">
        <v>1</v>
      </c>
      <c r="G108" s="2">
        <f>IFERROR(MATCH(C108,{"Mo";"Di";"Mi";"Do";"Fr"},0),0)^1+1*IFERROR(MATCH(D108,{"Mo";"Di";"Mi";"Do";"Fr"},0),0)^2+2*IFERROR(MATCH(E108,{"Mo";"Di";"Mi";"Do";"Fr"},0),0)^3+3*F108^4+4</f>
        <v>70</v>
      </c>
      <c r="I108" s="2" t="e">
        <f t="array" ref="I108">INDEX($G$3:$G$160,MATCH(0,COUNTIF(I$1:$I107,$G$3:$G$160),0))</f>
        <v>#N/A</v>
      </c>
      <c r="J108" s="2"/>
      <c r="K108" s="2"/>
      <c r="L108" s="31"/>
    </row>
    <row r="109" spans="1:12" x14ac:dyDescent="0.3">
      <c r="A109" s="2">
        <v>107</v>
      </c>
      <c r="B109" s="5" t="s">
        <v>102</v>
      </c>
      <c r="C109" s="6"/>
      <c r="D109" s="7" t="s">
        <v>152</v>
      </c>
      <c r="E109" s="7" t="s">
        <v>152</v>
      </c>
      <c r="F109" s="4">
        <v>2</v>
      </c>
      <c r="G109" s="2">
        <f>IFERROR(MATCH(C109,{"Mo";"Di";"Mi";"Do";"Fr"},0),0)^1+1*IFERROR(MATCH(D109,{"Mo";"Di";"Mi";"Do";"Fr"},0),0)^2+2*IFERROR(MATCH(E109,{"Mo";"Di";"Mi";"Do";"Fr"},0),0)^3+3*F109^4+4</f>
        <v>115</v>
      </c>
      <c r="I109" s="2" t="e">
        <f t="array" ref="I109">INDEX($G$3:$G$160,MATCH(0,COUNTIF(I$1:$I108,$G$3:$G$160),0))</f>
        <v>#N/A</v>
      </c>
      <c r="J109" s="2"/>
      <c r="K109" s="2"/>
      <c r="L109" s="31"/>
    </row>
    <row r="110" spans="1:12" x14ac:dyDescent="0.3">
      <c r="A110" s="2">
        <v>108</v>
      </c>
      <c r="B110" s="5" t="s">
        <v>4</v>
      </c>
      <c r="C110" s="7" t="s">
        <v>152</v>
      </c>
      <c r="D110" s="6"/>
      <c r="E110" s="7" t="s">
        <v>151</v>
      </c>
      <c r="F110" s="4">
        <v>3</v>
      </c>
      <c r="G110" s="2">
        <f>IFERROR(MATCH(C110,{"Mo";"Di";"Mi";"Do";"Fr"},0),0)^1+1*IFERROR(MATCH(D110,{"Mo";"Di";"Mi";"Do";"Fr"},0),0)^2+2*IFERROR(MATCH(E110,{"Mo";"Di";"Mi";"Do";"Fr"},0),0)^3+3*F110^4+4</f>
        <v>500</v>
      </c>
      <c r="I110" s="2" t="e">
        <f t="array" ref="I110">INDEX($G$3:$G$160,MATCH(0,COUNTIF(I$1:$I109,$G$3:$G$160),0))</f>
        <v>#N/A</v>
      </c>
      <c r="J110" s="2"/>
      <c r="K110" s="2"/>
      <c r="L110" s="31"/>
    </row>
    <row r="111" spans="1:12" x14ac:dyDescent="0.3">
      <c r="A111" s="2">
        <v>109</v>
      </c>
      <c r="B111" s="5" t="s">
        <v>103</v>
      </c>
      <c r="C111" s="6"/>
      <c r="D111" s="7" t="s">
        <v>150</v>
      </c>
      <c r="E111" s="7" t="s">
        <v>150</v>
      </c>
      <c r="F111" s="4">
        <v>4</v>
      </c>
      <c r="G111" s="2">
        <f>IFERROR(MATCH(C111,{"Mo";"Di";"Mi";"Do";"Fr"},0),0)^1+1*IFERROR(MATCH(D111,{"Mo";"Di";"Mi";"Do";"Fr"},0),0)^2+2*IFERROR(MATCH(E111,{"Mo";"Di";"Mi";"Do";"Fr"},0),0)^3+3*F111^4+4</f>
        <v>916</v>
      </c>
      <c r="I111" s="2" t="e">
        <f t="array" ref="I111">INDEX($G$3:$G$160,MATCH(0,COUNTIF(I$1:$I110,$G$3:$G$160),0))</f>
        <v>#N/A</v>
      </c>
      <c r="J111" s="2"/>
      <c r="K111" s="2"/>
      <c r="L111" s="31"/>
    </row>
    <row r="112" spans="1:12" x14ac:dyDescent="0.3">
      <c r="A112" s="2">
        <v>110</v>
      </c>
      <c r="B112" s="5" t="s">
        <v>104</v>
      </c>
      <c r="C112" s="6"/>
      <c r="D112" s="7" t="s">
        <v>151</v>
      </c>
      <c r="E112" s="7" t="s">
        <v>151</v>
      </c>
      <c r="F112" s="4">
        <v>4</v>
      </c>
      <c r="G112" s="2">
        <f>IFERROR(MATCH(C112,{"Mo";"Di";"Mi";"Do";"Fr"},0),0)^1+1*IFERROR(MATCH(D112,{"Mo";"Di";"Mi";"Do";"Fr"},0),0)^2+2*IFERROR(MATCH(E112,{"Mo";"Di";"Mi";"Do";"Fr"},0),0)^3+3*F112^4+4</f>
        <v>1047</v>
      </c>
      <c r="I112" s="2" t="e">
        <f t="array" ref="I112">INDEX($G$3:$G$160,MATCH(0,COUNTIF(I$1:$I111,$G$3:$G$160),0))</f>
        <v>#N/A</v>
      </c>
      <c r="J112" s="2"/>
      <c r="K112" s="2"/>
      <c r="L112" s="31"/>
    </row>
    <row r="113" spans="1:12" x14ac:dyDescent="0.3">
      <c r="A113" s="2">
        <v>111</v>
      </c>
      <c r="B113" s="5" t="s">
        <v>105</v>
      </c>
      <c r="C113" s="7" t="s">
        <v>152</v>
      </c>
      <c r="D113" s="6"/>
      <c r="E113" s="7" t="s">
        <v>150</v>
      </c>
      <c r="F113" s="4">
        <v>3</v>
      </c>
      <c r="G113" s="2">
        <f>IFERROR(MATCH(C113,{"Mo";"Di";"Mi";"Do";"Fr"},0),0)^1+1*IFERROR(MATCH(D113,{"Mo";"Di";"Mi";"Do";"Fr"},0),0)^2+2*IFERROR(MATCH(E113,{"Mo";"Di";"Mi";"Do";"Fr"},0),0)^3+3*F113^4+4</f>
        <v>378</v>
      </c>
      <c r="I113" s="2" t="e">
        <f t="array" ref="I113">INDEX($G$3:$G$160,MATCH(0,COUNTIF(I$1:$I112,$G$3:$G$160),0))</f>
        <v>#N/A</v>
      </c>
      <c r="J113" s="2"/>
      <c r="K113" s="2"/>
      <c r="L113" s="31"/>
    </row>
    <row r="114" spans="1:12" x14ac:dyDescent="0.3">
      <c r="A114" s="2">
        <v>112</v>
      </c>
      <c r="B114" s="5" t="s">
        <v>106</v>
      </c>
      <c r="C114" s="6"/>
      <c r="D114" s="7" t="s">
        <v>151</v>
      </c>
      <c r="E114" s="7" t="s">
        <v>151</v>
      </c>
      <c r="F114" s="4">
        <v>4</v>
      </c>
      <c r="G114" s="2">
        <f>IFERROR(MATCH(C114,{"Mo";"Di";"Mi";"Do";"Fr"},0),0)^1+1*IFERROR(MATCH(D114,{"Mo";"Di";"Mi";"Do";"Fr"},0),0)^2+2*IFERROR(MATCH(E114,{"Mo";"Di";"Mi";"Do";"Fr"},0),0)^3+3*F114^4+4</f>
        <v>1047</v>
      </c>
      <c r="I114" s="2" t="e">
        <f t="array" ref="I114">INDEX($G$3:$G$160,MATCH(0,COUNTIF(I$1:$I113,$G$3:$G$160),0))</f>
        <v>#N/A</v>
      </c>
      <c r="J114" s="2"/>
      <c r="K114" s="2"/>
      <c r="L114" s="31"/>
    </row>
    <row r="115" spans="1:12" x14ac:dyDescent="0.3">
      <c r="A115" s="2">
        <v>113</v>
      </c>
      <c r="B115" s="5" t="s">
        <v>107</v>
      </c>
      <c r="C115" s="7" t="s">
        <v>152</v>
      </c>
      <c r="D115" s="6"/>
      <c r="E115" s="7" t="s">
        <v>150</v>
      </c>
      <c r="F115" s="4">
        <v>3</v>
      </c>
      <c r="G115" s="2">
        <f>IFERROR(MATCH(C115,{"Mo";"Di";"Mi";"Do";"Fr"},0),0)^1+1*IFERROR(MATCH(D115,{"Mo";"Di";"Mi";"Do";"Fr"},0),0)^2+2*IFERROR(MATCH(E115,{"Mo";"Di";"Mi";"Do";"Fr"},0),0)^3+3*F115^4+4</f>
        <v>378</v>
      </c>
      <c r="I115" s="2" t="e">
        <f t="array" ref="I115">INDEX($G$3:$G$160,MATCH(0,COUNTIF(I$1:$I114,$G$3:$G$160),0))</f>
        <v>#N/A</v>
      </c>
      <c r="J115" s="2"/>
      <c r="K115" s="2"/>
      <c r="L115" s="31"/>
    </row>
    <row r="116" spans="1:12" x14ac:dyDescent="0.3">
      <c r="A116" s="2">
        <v>114</v>
      </c>
      <c r="B116" s="5" t="s">
        <v>108</v>
      </c>
      <c r="C116" s="7" t="s">
        <v>152</v>
      </c>
      <c r="D116" s="6"/>
      <c r="E116" s="7" t="s">
        <v>151</v>
      </c>
      <c r="F116" s="4">
        <v>3</v>
      </c>
      <c r="G116" s="2">
        <f>IFERROR(MATCH(C116,{"Mo";"Di";"Mi";"Do";"Fr"},0),0)^1+1*IFERROR(MATCH(D116,{"Mo";"Di";"Mi";"Do";"Fr"},0),0)^2+2*IFERROR(MATCH(E116,{"Mo";"Di";"Mi";"Do";"Fr"},0),0)^3+3*F116^4+4</f>
        <v>500</v>
      </c>
      <c r="I116" s="2" t="e">
        <f t="array" ref="I116">INDEX($G$3:$G$160,MATCH(0,COUNTIF(I$1:$I115,$G$3:$G$160),0))</f>
        <v>#N/A</v>
      </c>
      <c r="J116" s="2"/>
      <c r="K116" s="2"/>
      <c r="L116" s="31"/>
    </row>
    <row r="117" spans="1:12" x14ac:dyDescent="0.3">
      <c r="A117" s="2">
        <v>115</v>
      </c>
      <c r="B117" s="5" t="s">
        <v>109</v>
      </c>
      <c r="C117" s="6"/>
      <c r="D117" s="7" t="s">
        <v>152</v>
      </c>
      <c r="E117" s="7" t="s">
        <v>152</v>
      </c>
      <c r="F117" s="4">
        <v>2</v>
      </c>
      <c r="G117" s="2">
        <f>IFERROR(MATCH(C117,{"Mo";"Di";"Mi";"Do";"Fr"},0),0)^1+1*IFERROR(MATCH(D117,{"Mo";"Di";"Mi";"Do";"Fr"},0),0)^2+2*IFERROR(MATCH(E117,{"Mo";"Di";"Mi";"Do";"Fr"},0),0)^3+3*F117^4+4</f>
        <v>115</v>
      </c>
      <c r="I117" s="2" t="e">
        <f t="array" ref="I117">INDEX($G$3:$G$160,MATCH(0,COUNTIF(I$1:$I116,$G$3:$G$160),0))</f>
        <v>#N/A</v>
      </c>
      <c r="J117" s="2"/>
      <c r="K117" s="2"/>
      <c r="L117" s="31"/>
    </row>
    <row r="118" spans="1:12" x14ac:dyDescent="0.3">
      <c r="A118" s="2">
        <v>116</v>
      </c>
      <c r="B118" s="5" t="s">
        <v>110</v>
      </c>
      <c r="C118" s="6"/>
      <c r="D118" s="7" t="s">
        <v>152</v>
      </c>
      <c r="E118" s="7" t="s">
        <v>152</v>
      </c>
      <c r="F118" s="4">
        <v>1</v>
      </c>
      <c r="G118" s="2">
        <f>IFERROR(MATCH(C118,{"Mo";"Di";"Mi";"Do";"Fr"},0),0)^1+1*IFERROR(MATCH(D118,{"Mo";"Di";"Mi";"Do";"Fr"},0),0)^2+2*IFERROR(MATCH(E118,{"Mo";"Di";"Mi";"Do";"Fr"},0),0)^3+3*F118^4+4</f>
        <v>70</v>
      </c>
      <c r="I118" s="2" t="e">
        <f t="array" ref="I118">INDEX($G$3:$G$160,MATCH(0,COUNTIF(I$1:$I117,$G$3:$G$160),0))</f>
        <v>#N/A</v>
      </c>
      <c r="J118" s="2"/>
      <c r="K118" s="2"/>
      <c r="L118" s="31"/>
    </row>
    <row r="119" spans="1:12" x14ac:dyDescent="0.3">
      <c r="A119" s="2">
        <v>117</v>
      </c>
      <c r="B119" s="5" t="s">
        <v>111</v>
      </c>
      <c r="C119" s="6"/>
      <c r="D119" s="7" t="s">
        <v>152</v>
      </c>
      <c r="E119" s="7" t="s">
        <v>152</v>
      </c>
      <c r="F119" s="4">
        <v>1</v>
      </c>
      <c r="G119" s="2">
        <f>IFERROR(MATCH(C119,{"Mo";"Di";"Mi";"Do";"Fr"},0),0)^1+1*IFERROR(MATCH(D119,{"Mo";"Di";"Mi";"Do";"Fr"},0),0)^2+2*IFERROR(MATCH(E119,{"Mo";"Di";"Mi";"Do";"Fr"},0),0)^3+3*F119^4+4</f>
        <v>70</v>
      </c>
      <c r="I119" s="2" t="e">
        <f t="array" ref="I119">INDEX($G$3:$G$160,MATCH(0,COUNTIF(I$1:$I118,$G$3:$G$160),0))</f>
        <v>#N/A</v>
      </c>
      <c r="J119" s="2"/>
      <c r="K119" s="2"/>
      <c r="L119" s="31"/>
    </row>
    <row r="120" spans="1:12" x14ac:dyDescent="0.3">
      <c r="A120" s="2">
        <v>118</v>
      </c>
      <c r="B120" s="5" t="s">
        <v>112</v>
      </c>
      <c r="C120" s="6"/>
      <c r="D120" s="7" t="s">
        <v>150</v>
      </c>
      <c r="E120" s="7" t="s">
        <v>150</v>
      </c>
      <c r="F120" s="4">
        <v>4</v>
      </c>
      <c r="G120" s="2">
        <f>IFERROR(MATCH(C120,{"Mo";"Di";"Mi";"Do";"Fr"},0),0)^1+1*IFERROR(MATCH(D120,{"Mo";"Di";"Mi";"Do";"Fr"},0),0)^2+2*IFERROR(MATCH(E120,{"Mo";"Di";"Mi";"Do";"Fr"},0),0)^3+3*F120^4+4</f>
        <v>916</v>
      </c>
      <c r="I120" s="2" t="e">
        <f t="array" ref="I120">INDEX($G$3:$G$160,MATCH(0,COUNTIF(I$1:$I119,$G$3:$G$160),0))</f>
        <v>#N/A</v>
      </c>
      <c r="J120" s="2"/>
      <c r="K120" s="2"/>
      <c r="L120" s="31"/>
    </row>
    <row r="121" spans="1:12" x14ac:dyDescent="0.3">
      <c r="A121" s="2">
        <v>119</v>
      </c>
      <c r="B121" s="5" t="s">
        <v>113</v>
      </c>
      <c r="C121" s="6"/>
      <c r="D121" s="7" t="s">
        <v>151</v>
      </c>
      <c r="E121" s="7" t="s">
        <v>151</v>
      </c>
      <c r="F121" s="4">
        <v>3</v>
      </c>
      <c r="G121" s="2">
        <f>IFERROR(MATCH(C121,{"Mo";"Di";"Mi";"Do";"Fr"},0),0)^1+1*IFERROR(MATCH(D121,{"Mo";"Di";"Mi";"Do";"Fr"},0),0)^2+2*IFERROR(MATCH(E121,{"Mo";"Di";"Mi";"Do";"Fr"},0),0)^3+3*F121^4+4</f>
        <v>522</v>
      </c>
      <c r="I121" s="2" t="e">
        <f t="array" ref="I121">INDEX($G$3:$G$160,MATCH(0,COUNTIF(I$1:$I120,$G$3:$G$160),0))</f>
        <v>#N/A</v>
      </c>
      <c r="J121" s="2"/>
      <c r="K121" s="2"/>
      <c r="L121" s="31"/>
    </row>
    <row r="122" spans="1:12" x14ac:dyDescent="0.3">
      <c r="A122" s="2">
        <v>120</v>
      </c>
      <c r="B122" s="5" t="s">
        <v>114</v>
      </c>
      <c r="C122" s="6"/>
      <c r="D122" s="7" t="s">
        <v>150</v>
      </c>
      <c r="E122" s="7" t="s">
        <v>150</v>
      </c>
      <c r="F122" s="4">
        <v>3</v>
      </c>
      <c r="G122" s="2">
        <f>IFERROR(MATCH(C122,{"Mo";"Di";"Mi";"Do";"Fr"},0),0)^1+1*IFERROR(MATCH(D122,{"Mo";"Di";"Mi";"Do";"Fr"},0),0)^2+2*IFERROR(MATCH(E122,{"Mo";"Di";"Mi";"Do";"Fr"},0),0)^3+3*F122^4+4</f>
        <v>391</v>
      </c>
      <c r="I122" s="2" t="e">
        <f t="array" ref="I122">INDEX($G$3:$G$160,MATCH(0,COUNTIF(I$1:$I121,$G$3:$G$160),0))</f>
        <v>#N/A</v>
      </c>
      <c r="J122" s="2"/>
      <c r="K122" s="2"/>
      <c r="L122" s="31"/>
    </row>
    <row r="123" spans="1:12" x14ac:dyDescent="0.3">
      <c r="A123" s="2">
        <v>121</v>
      </c>
      <c r="B123" s="5" t="s">
        <v>115</v>
      </c>
      <c r="C123" s="6"/>
      <c r="D123" s="7" t="s">
        <v>152</v>
      </c>
      <c r="E123" s="7" t="s">
        <v>152</v>
      </c>
      <c r="F123" s="4">
        <v>2</v>
      </c>
      <c r="G123" s="2">
        <f>IFERROR(MATCH(C123,{"Mo";"Di";"Mi";"Do";"Fr"},0),0)^1+1*IFERROR(MATCH(D123,{"Mo";"Di";"Mi";"Do";"Fr"},0),0)^2+2*IFERROR(MATCH(E123,{"Mo";"Di";"Mi";"Do";"Fr"},0),0)^3+3*F123^4+4</f>
        <v>115</v>
      </c>
      <c r="I123" s="2" t="e">
        <f t="array" ref="I123">INDEX($G$3:$G$160,MATCH(0,COUNTIF(I$1:$I122,$G$3:$G$160),0))</f>
        <v>#N/A</v>
      </c>
      <c r="J123" s="2"/>
      <c r="K123" s="2"/>
      <c r="L123" s="31"/>
    </row>
    <row r="124" spans="1:12" x14ac:dyDescent="0.3">
      <c r="A124" s="2">
        <v>122</v>
      </c>
      <c r="B124" s="5" t="s">
        <v>116</v>
      </c>
      <c r="C124" s="6"/>
      <c r="D124" s="7" t="s">
        <v>153</v>
      </c>
      <c r="E124" s="7" t="s">
        <v>153</v>
      </c>
      <c r="F124" s="4">
        <v>1</v>
      </c>
      <c r="G124" s="2">
        <f>IFERROR(MATCH(C124,{"Mo";"Di";"Mi";"Do";"Fr"},0),0)^1+1*IFERROR(MATCH(D124,{"Mo";"Di";"Mi";"Do";"Fr"},0),0)^2+2*IFERROR(MATCH(E124,{"Mo";"Di";"Mi";"Do";"Fr"},0),0)^3+3*F124^4+4</f>
        <v>7</v>
      </c>
      <c r="I124" s="2" t="e">
        <f t="array" ref="I124">INDEX($G$3:$G$160,MATCH(0,COUNTIF(I$1:$I123,$G$3:$G$160),0))</f>
        <v>#N/A</v>
      </c>
      <c r="J124" s="2"/>
      <c r="K124" s="2"/>
      <c r="L124" s="31"/>
    </row>
    <row r="125" spans="1:12" x14ac:dyDescent="0.3">
      <c r="A125" s="2">
        <v>123</v>
      </c>
      <c r="B125" s="5" t="s">
        <v>117</v>
      </c>
      <c r="C125" s="6"/>
      <c r="D125" s="7" t="s">
        <v>151</v>
      </c>
      <c r="E125" s="7" t="s">
        <v>151</v>
      </c>
      <c r="F125" s="4">
        <v>1</v>
      </c>
      <c r="G125" s="2">
        <f>IFERROR(MATCH(C125,{"Mo";"Di";"Mi";"Do";"Fr"},0),0)^1+1*IFERROR(MATCH(D125,{"Mo";"Di";"Mi";"Do";"Fr"},0),0)^2+2*IFERROR(MATCH(E125,{"Mo";"Di";"Mi";"Do";"Fr"},0),0)^3+3*F125^4+4</f>
        <v>282</v>
      </c>
      <c r="I125" s="2" t="e">
        <f t="array" ref="I125">INDEX($G$3:$G$160,MATCH(0,COUNTIF(I$1:$I124,$G$3:$G$160),0))</f>
        <v>#N/A</v>
      </c>
      <c r="J125" s="2"/>
      <c r="K125" s="2"/>
      <c r="L125" s="31"/>
    </row>
    <row r="126" spans="1:12" x14ac:dyDescent="0.3">
      <c r="A126" s="2">
        <v>124</v>
      </c>
      <c r="B126" s="5" t="s">
        <v>118</v>
      </c>
      <c r="C126" s="6"/>
      <c r="D126" s="7" t="s">
        <v>152</v>
      </c>
      <c r="E126" s="7" t="s">
        <v>152</v>
      </c>
      <c r="F126" s="4">
        <v>2</v>
      </c>
      <c r="G126" s="2">
        <f>IFERROR(MATCH(C126,{"Mo";"Di";"Mi";"Do";"Fr"},0),0)^1+1*IFERROR(MATCH(D126,{"Mo";"Di";"Mi";"Do";"Fr"},0),0)^2+2*IFERROR(MATCH(E126,{"Mo";"Di";"Mi";"Do";"Fr"},0),0)^3+3*F126^4+4</f>
        <v>115</v>
      </c>
      <c r="I126" s="2" t="e">
        <f t="array" ref="I126">INDEX($G$3:$G$160,MATCH(0,COUNTIF(I$1:$I125,$G$3:$G$160),0))</f>
        <v>#N/A</v>
      </c>
      <c r="J126" s="2"/>
      <c r="K126" s="2"/>
      <c r="L126" s="31"/>
    </row>
    <row r="127" spans="1:12" x14ac:dyDescent="0.3">
      <c r="A127" s="2">
        <v>125</v>
      </c>
      <c r="B127" s="5" t="s">
        <v>119</v>
      </c>
      <c r="C127" s="6"/>
      <c r="D127" s="7" t="s">
        <v>152</v>
      </c>
      <c r="E127" s="7" t="s">
        <v>150</v>
      </c>
      <c r="F127" s="4">
        <v>1</v>
      </c>
      <c r="G127" s="2">
        <f>IFERROR(MATCH(C127,{"Mo";"Di";"Mi";"Do";"Fr"},0),0)^1+1*IFERROR(MATCH(D127,{"Mo";"Di";"Mi";"Do";"Fr"},0),0)^2+2*IFERROR(MATCH(E127,{"Mo";"Di";"Mi";"Do";"Fr"},0),0)^3+3*F127^4+4</f>
        <v>144</v>
      </c>
      <c r="I127" s="2" t="e">
        <f t="array" ref="I127">INDEX($G$3:$G$160,MATCH(0,COUNTIF(I$1:$I126,$G$3:$G$160),0))</f>
        <v>#N/A</v>
      </c>
      <c r="J127" s="2"/>
      <c r="K127" s="2"/>
      <c r="L127" s="31"/>
    </row>
    <row r="128" spans="1:12" x14ac:dyDescent="0.3">
      <c r="A128" s="2">
        <v>126</v>
      </c>
      <c r="B128" s="5" t="s">
        <v>120</v>
      </c>
      <c r="C128" s="6"/>
      <c r="D128" s="7" t="s">
        <v>150</v>
      </c>
      <c r="E128" s="7" t="s">
        <v>150</v>
      </c>
      <c r="F128" s="4">
        <v>4</v>
      </c>
      <c r="G128" s="2">
        <f>IFERROR(MATCH(C128,{"Mo";"Di";"Mi";"Do";"Fr"},0),0)^1+1*IFERROR(MATCH(D128,{"Mo";"Di";"Mi";"Do";"Fr"},0),0)^2+2*IFERROR(MATCH(E128,{"Mo";"Di";"Mi";"Do";"Fr"},0),0)^3+3*F128^4+4</f>
        <v>916</v>
      </c>
      <c r="I128" s="2" t="e">
        <f t="array" ref="I128">INDEX($G$3:$G$160,MATCH(0,COUNTIF(I$1:$I127,$G$3:$G$160),0))</f>
        <v>#N/A</v>
      </c>
      <c r="J128" s="2"/>
      <c r="K128" s="2"/>
      <c r="L128" s="31"/>
    </row>
    <row r="129" spans="1:12" x14ac:dyDescent="0.3">
      <c r="A129" s="2">
        <v>127</v>
      </c>
      <c r="B129" s="5" t="s">
        <v>121</v>
      </c>
      <c r="C129" s="7" t="s">
        <v>153</v>
      </c>
      <c r="D129" s="7" t="s">
        <v>153</v>
      </c>
      <c r="E129" s="7" t="s">
        <v>153</v>
      </c>
      <c r="F129" s="4"/>
      <c r="G129" s="2">
        <f>IFERROR(MATCH(C129,{"Mo";"Di";"Mi";"Do";"Fr"},0),0)^1+1*IFERROR(MATCH(D129,{"Mo";"Di";"Mi";"Do";"Fr"},0),0)^2+2*IFERROR(MATCH(E129,{"Mo";"Di";"Mi";"Do";"Fr"},0),0)^3+3*F129^4+4</f>
        <v>4</v>
      </c>
      <c r="I129" s="2" t="e">
        <f t="array" ref="I129">INDEX($G$3:$G$160,MATCH(0,COUNTIF(I$1:$I128,$G$3:$G$160),0))</f>
        <v>#N/A</v>
      </c>
      <c r="J129" s="2"/>
      <c r="K129" s="2"/>
      <c r="L129" s="31"/>
    </row>
    <row r="130" spans="1:12" x14ac:dyDescent="0.3">
      <c r="A130" s="2">
        <v>128</v>
      </c>
      <c r="B130" s="5" t="s">
        <v>122</v>
      </c>
      <c r="C130" s="6"/>
      <c r="D130" s="7" t="s">
        <v>152</v>
      </c>
      <c r="E130" s="7" t="s">
        <v>152</v>
      </c>
      <c r="F130" s="4">
        <v>2</v>
      </c>
      <c r="G130" s="2">
        <f>IFERROR(MATCH(C130,{"Mo";"Di";"Mi";"Do";"Fr"},0),0)^1+1*IFERROR(MATCH(D130,{"Mo";"Di";"Mi";"Do";"Fr"},0),0)^2+2*IFERROR(MATCH(E130,{"Mo";"Di";"Mi";"Do";"Fr"},0),0)^3+3*F130^4+4</f>
        <v>115</v>
      </c>
      <c r="I130" s="2" t="e">
        <f t="array" ref="I130">INDEX($G$3:$G$160,MATCH(0,COUNTIF(I$1:$I129,$G$3:$G$160),0))</f>
        <v>#N/A</v>
      </c>
      <c r="J130" s="2"/>
      <c r="K130" s="2"/>
      <c r="L130" s="31"/>
    </row>
    <row r="131" spans="1:12" x14ac:dyDescent="0.3">
      <c r="A131" s="2">
        <v>129</v>
      </c>
      <c r="B131" s="5" t="s">
        <v>123</v>
      </c>
      <c r="C131" s="6"/>
      <c r="D131" s="7" t="s">
        <v>152</v>
      </c>
      <c r="E131" s="7" t="s">
        <v>152</v>
      </c>
      <c r="F131" s="4">
        <v>2</v>
      </c>
      <c r="G131" s="2">
        <f>IFERROR(MATCH(C131,{"Mo";"Di";"Mi";"Do";"Fr"},0),0)^1+1*IFERROR(MATCH(D131,{"Mo";"Di";"Mi";"Do";"Fr"},0),0)^2+2*IFERROR(MATCH(E131,{"Mo";"Di";"Mi";"Do";"Fr"},0),0)^3+3*F131^4+4</f>
        <v>115</v>
      </c>
      <c r="I131" s="2" t="e">
        <f t="array" ref="I131">INDEX($G$3:$G$160,MATCH(0,COUNTIF(I$1:$I130,$G$3:$G$160),0))</f>
        <v>#N/A</v>
      </c>
      <c r="J131" s="2"/>
      <c r="K131" s="2"/>
      <c r="L131" s="31"/>
    </row>
    <row r="132" spans="1:12" x14ac:dyDescent="0.3">
      <c r="A132" s="2">
        <v>130</v>
      </c>
      <c r="B132" s="5" t="s">
        <v>124</v>
      </c>
      <c r="C132" s="6"/>
      <c r="D132" s="7" t="s">
        <v>150</v>
      </c>
      <c r="E132" s="7" t="s">
        <v>150</v>
      </c>
      <c r="F132" s="4">
        <v>4</v>
      </c>
      <c r="G132" s="2">
        <f>IFERROR(MATCH(C132,{"Mo";"Di";"Mi";"Do";"Fr"},0),0)^1+1*IFERROR(MATCH(D132,{"Mo";"Di";"Mi";"Do";"Fr"},0),0)^2+2*IFERROR(MATCH(E132,{"Mo";"Di";"Mi";"Do";"Fr"},0),0)^3+3*F132^4+4</f>
        <v>916</v>
      </c>
      <c r="I132" s="2" t="e">
        <f t="array" ref="I132">INDEX($G$3:$G$160,MATCH(0,COUNTIF(I$1:$I131,$G$3:$G$160),0))</f>
        <v>#N/A</v>
      </c>
      <c r="J132" s="2"/>
      <c r="K132" s="2"/>
      <c r="L132" s="31"/>
    </row>
    <row r="133" spans="1:12" x14ac:dyDescent="0.3">
      <c r="A133" s="2">
        <v>131</v>
      </c>
      <c r="B133" s="5" t="s">
        <v>125</v>
      </c>
      <c r="C133" s="6"/>
      <c r="D133" s="7" t="s">
        <v>150</v>
      </c>
      <c r="E133" s="7" t="s">
        <v>150</v>
      </c>
      <c r="F133" s="4">
        <v>1</v>
      </c>
      <c r="G133" s="2">
        <f>IFERROR(MATCH(C133,{"Mo";"Di";"Mi";"Do";"Fr"},0),0)^1+1*IFERROR(MATCH(D133,{"Mo";"Di";"Mi";"Do";"Fr"},0),0)^2+2*IFERROR(MATCH(E133,{"Mo";"Di";"Mi";"Do";"Fr"},0),0)^3+3*F133^4+4</f>
        <v>151</v>
      </c>
      <c r="I133" s="2" t="e">
        <f t="array" ref="I133">INDEX($G$3:$G$160,MATCH(0,COUNTIF(I$1:$I132,$G$3:$G$160),0))</f>
        <v>#N/A</v>
      </c>
      <c r="J133" s="2"/>
      <c r="K133" s="2"/>
      <c r="L133" s="31"/>
    </row>
    <row r="134" spans="1:12" x14ac:dyDescent="0.3">
      <c r="A134" s="2">
        <v>132</v>
      </c>
      <c r="B134" s="5" t="s">
        <v>126</v>
      </c>
      <c r="C134" s="6"/>
      <c r="D134" s="7" t="s">
        <v>152</v>
      </c>
      <c r="E134" s="7" t="s">
        <v>152</v>
      </c>
      <c r="F134" s="4">
        <v>2</v>
      </c>
      <c r="G134" s="2">
        <f>IFERROR(MATCH(C134,{"Mo";"Di";"Mi";"Do";"Fr"},0),0)^1+1*IFERROR(MATCH(D134,{"Mo";"Di";"Mi";"Do";"Fr"},0),0)^2+2*IFERROR(MATCH(E134,{"Mo";"Di";"Mi";"Do";"Fr"},0),0)^3+3*F134^4+4</f>
        <v>115</v>
      </c>
      <c r="I134" s="2" t="e">
        <f t="array" ref="I134">INDEX($G$3:$G$160,MATCH(0,COUNTIF(I$1:$I133,$G$3:$G$160),0))</f>
        <v>#N/A</v>
      </c>
      <c r="J134" s="2"/>
      <c r="K134" s="2"/>
      <c r="L134" s="31"/>
    </row>
    <row r="135" spans="1:12" x14ac:dyDescent="0.3">
      <c r="A135" s="2">
        <v>133</v>
      </c>
      <c r="B135" s="5" t="s">
        <v>202</v>
      </c>
      <c r="C135" s="6" t="s">
        <v>153</v>
      </c>
      <c r="D135" s="7" t="s">
        <v>153</v>
      </c>
      <c r="E135" s="7" t="s">
        <v>153</v>
      </c>
      <c r="F135" s="4">
        <v>3</v>
      </c>
      <c r="G135" s="2">
        <f>IFERROR(MATCH(C135,{"Mo";"Di";"Mi";"Do";"Fr"},0),0)^1+1*IFERROR(MATCH(D135,{"Mo";"Di";"Mi";"Do";"Fr"},0),0)^2+2*IFERROR(MATCH(E135,{"Mo";"Di";"Mi";"Do";"Fr"},0),0)^3+3*F135^4+4</f>
        <v>247</v>
      </c>
      <c r="I135" s="2" t="e">
        <f t="array" ref="I135">INDEX($G$3:$G$160,MATCH(0,COUNTIF(I$1:$I134,$G$3:$G$160),0))</f>
        <v>#N/A</v>
      </c>
      <c r="J135" s="2"/>
      <c r="K135" s="2"/>
      <c r="L135" s="31"/>
    </row>
    <row r="136" spans="1:12" x14ac:dyDescent="0.3">
      <c r="A136" s="2">
        <v>134</v>
      </c>
      <c r="B136" s="5" t="s">
        <v>127</v>
      </c>
      <c r="C136" s="6"/>
      <c r="D136" s="7" t="s">
        <v>150</v>
      </c>
      <c r="E136" s="7" t="s">
        <v>150</v>
      </c>
      <c r="F136" s="4">
        <v>4</v>
      </c>
      <c r="G136" s="2">
        <f>IFERROR(MATCH(C136,{"Mo";"Di";"Mi";"Do";"Fr"},0),0)^1+1*IFERROR(MATCH(D136,{"Mo";"Di";"Mi";"Do";"Fr"},0),0)^2+2*IFERROR(MATCH(E136,{"Mo";"Di";"Mi";"Do";"Fr"},0),0)^3+3*F136^4+4</f>
        <v>916</v>
      </c>
      <c r="I136" s="2" t="e">
        <f t="array" ref="I136">INDEX($G$3:$G$160,MATCH(0,COUNTIF(I$1:$I134,$G$3:$G$160),0))</f>
        <v>#N/A</v>
      </c>
      <c r="J136" s="2"/>
      <c r="K136" s="2"/>
      <c r="L136" s="31"/>
    </row>
    <row r="137" spans="1:12" x14ac:dyDescent="0.3">
      <c r="A137" s="2">
        <v>135</v>
      </c>
      <c r="B137" s="5" t="s">
        <v>128</v>
      </c>
      <c r="C137" s="6"/>
      <c r="D137" s="7" t="s">
        <v>150</v>
      </c>
      <c r="E137" s="7" t="s">
        <v>150</v>
      </c>
      <c r="F137" s="4">
        <v>4</v>
      </c>
      <c r="G137" s="2">
        <f>IFERROR(MATCH(C137,{"Mo";"Di";"Mi";"Do";"Fr"},0),0)^1+1*IFERROR(MATCH(D137,{"Mo";"Di";"Mi";"Do";"Fr"},0),0)^2+2*IFERROR(MATCH(E137,{"Mo";"Di";"Mi";"Do";"Fr"},0),0)^3+3*F137^4+4</f>
        <v>916</v>
      </c>
      <c r="I137" s="2" t="e">
        <f t="array" ref="I137">INDEX($G$3:$G$160,MATCH(0,COUNTIF(I$1:$I136,$G$3:$G$160),0))</f>
        <v>#N/A</v>
      </c>
      <c r="J137" s="2"/>
      <c r="K137" s="2"/>
      <c r="L137" s="31"/>
    </row>
    <row r="138" spans="1:12" x14ac:dyDescent="0.3">
      <c r="A138" s="2">
        <v>136</v>
      </c>
      <c r="B138" s="5" t="s">
        <v>129</v>
      </c>
      <c r="C138" s="6"/>
      <c r="D138" s="7" t="s">
        <v>151</v>
      </c>
      <c r="E138" s="7" t="s">
        <v>151</v>
      </c>
      <c r="F138" s="4">
        <v>1</v>
      </c>
      <c r="G138" s="2">
        <f>IFERROR(MATCH(C138,{"Mo";"Di";"Mi";"Do";"Fr"},0),0)^1+1*IFERROR(MATCH(D138,{"Mo";"Di";"Mi";"Do";"Fr"},0),0)^2+2*IFERROR(MATCH(E138,{"Mo";"Di";"Mi";"Do";"Fr"},0),0)^3+3*F138^4+4</f>
        <v>282</v>
      </c>
      <c r="I138" s="2" t="e">
        <f t="array" ref="I138">INDEX($G$3:$G$160,MATCH(0,COUNTIF(I$1:$I137,$G$3:$G$160),0))</f>
        <v>#N/A</v>
      </c>
      <c r="J138" s="2"/>
      <c r="K138" s="2"/>
      <c r="L138" s="31"/>
    </row>
    <row r="139" spans="1:12" x14ac:dyDescent="0.3">
      <c r="A139" s="2">
        <v>137</v>
      </c>
      <c r="B139" s="5" t="s">
        <v>130</v>
      </c>
      <c r="C139" s="6"/>
      <c r="D139" s="7" t="s">
        <v>150</v>
      </c>
      <c r="E139" s="7" t="s">
        <v>150</v>
      </c>
      <c r="F139" s="4">
        <v>4</v>
      </c>
      <c r="G139" s="2">
        <f>IFERROR(MATCH(C139,{"Mo";"Di";"Mi";"Do";"Fr"},0),0)^1+1*IFERROR(MATCH(D139,{"Mo";"Di";"Mi";"Do";"Fr"},0),0)^2+2*IFERROR(MATCH(E139,{"Mo";"Di";"Mi";"Do";"Fr"},0),0)^3+3*F139^4+4</f>
        <v>916</v>
      </c>
      <c r="I139" s="2" t="e">
        <f t="array" ref="I139">INDEX($G$3:$G$160,MATCH(0,COUNTIF(I$1:$I138,$G$3:$G$160),0))</f>
        <v>#N/A</v>
      </c>
      <c r="J139" s="2"/>
      <c r="K139" s="2"/>
      <c r="L139" s="31"/>
    </row>
    <row r="140" spans="1:12" x14ac:dyDescent="0.3">
      <c r="A140" s="2">
        <v>138</v>
      </c>
      <c r="B140" s="5" t="s">
        <v>131</v>
      </c>
      <c r="C140" s="6"/>
      <c r="D140" s="7" t="s">
        <v>152</v>
      </c>
      <c r="E140" s="7" t="s">
        <v>150</v>
      </c>
      <c r="F140" s="4">
        <v>1</v>
      </c>
      <c r="G140" s="2">
        <f>IFERROR(MATCH(C140,{"Mo";"Di";"Mi";"Do";"Fr"},0),0)^1+1*IFERROR(MATCH(D140,{"Mo";"Di";"Mi";"Do";"Fr"},0),0)^2+2*IFERROR(MATCH(E140,{"Mo";"Di";"Mi";"Do";"Fr"},0),0)^3+3*F140^4+4</f>
        <v>144</v>
      </c>
      <c r="I140" s="2" t="e">
        <f t="array" ref="I140">INDEX($G$3:$G$160,MATCH(0,COUNTIF(I$1:$I139,$G$3:$G$160),0))</f>
        <v>#N/A</v>
      </c>
      <c r="J140" s="2"/>
      <c r="K140" s="2"/>
      <c r="L140" s="31"/>
    </row>
    <row r="141" spans="1:12" x14ac:dyDescent="0.3">
      <c r="A141" s="2">
        <v>139</v>
      </c>
      <c r="B141" s="5" t="s">
        <v>203</v>
      </c>
      <c r="C141" s="6" t="s">
        <v>153</v>
      </c>
      <c r="D141" s="7" t="s">
        <v>153</v>
      </c>
      <c r="E141" s="7" t="s">
        <v>153</v>
      </c>
      <c r="F141" s="4">
        <v>3</v>
      </c>
      <c r="G141" s="2">
        <f>IFERROR(MATCH(C141,{"Mo";"Di";"Mi";"Do";"Fr"},0),0)^1+1*IFERROR(MATCH(D141,{"Mo";"Di";"Mi";"Do";"Fr"},0),0)^2+2*IFERROR(MATCH(E141,{"Mo";"Di";"Mi";"Do";"Fr"},0),0)^3+3*F141^4+4</f>
        <v>247</v>
      </c>
      <c r="I141" s="2" t="e">
        <f t="array" ref="I141">INDEX($G$3:$G$160,MATCH(0,COUNTIF(I$1:$I140,$G$3:$G$160),0))</f>
        <v>#N/A</v>
      </c>
      <c r="J141" s="2"/>
      <c r="K141" s="2"/>
      <c r="L141" s="31"/>
    </row>
    <row r="142" spans="1:12" x14ac:dyDescent="0.3">
      <c r="A142" s="2">
        <v>140</v>
      </c>
      <c r="B142" s="5" t="s">
        <v>132</v>
      </c>
      <c r="C142" s="7" t="s">
        <v>152</v>
      </c>
      <c r="D142" s="6"/>
      <c r="E142" s="7" t="s">
        <v>150</v>
      </c>
      <c r="F142" s="4">
        <v>3</v>
      </c>
      <c r="G142" s="2">
        <f>IFERROR(MATCH(C142,{"Mo";"Di";"Mi";"Do";"Fr"},0),0)^1+1*IFERROR(MATCH(D142,{"Mo";"Di";"Mi";"Do";"Fr"},0),0)^2+2*IFERROR(MATCH(E142,{"Mo";"Di";"Mi";"Do";"Fr"},0),0)^3+3*F142^4+4</f>
        <v>378</v>
      </c>
      <c r="I142" s="2" t="e">
        <f t="array" ref="I142">INDEX($G$3:$G$160,MATCH(0,COUNTIF(I$1:$I140,$G$3:$G$160),0))</f>
        <v>#N/A</v>
      </c>
      <c r="J142" s="2"/>
      <c r="K142" s="2"/>
      <c r="L142" s="31"/>
    </row>
    <row r="143" spans="1:12" x14ac:dyDescent="0.3">
      <c r="A143" s="2">
        <v>141</v>
      </c>
      <c r="B143" s="5" t="s">
        <v>133</v>
      </c>
      <c r="C143" s="6"/>
      <c r="D143" s="7" t="s">
        <v>150</v>
      </c>
      <c r="E143" s="7" t="s">
        <v>150</v>
      </c>
      <c r="F143" s="4">
        <v>3</v>
      </c>
      <c r="G143" s="2">
        <f>IFERROR(MATCH(C143,{"Mo";"Di";"Mi";"Do";"Fr"},0),0)^1+1*IFERROR(MATCH(D143,{"Mo";"Di";"Mi";"Do";"Fr"},0),0)^2+2*IFERROR(MATCH(E143,{"Mo";"Di";"Mi";"Do";"Fr"},0),0)^3+3*F143^4+4</f>
        <v>391</v>
      </c>
      <c r="I143" s="2" t="e">
        <f t="array" ref="I143">INDEX($G$3:$G$160,MATCH(0,COUNTIF(I$1:$I142,$G$3:$G$160),0))</f>
        <v>#N/A</v>
      </c>
      <c r="J143" s="2"/>
      <c r="K143" s="2"/>
      <c r="L143" s="31"/>
    </row>
    <row r="144" spans="1:12" x14ac:dyDescent="0.3">
      <c r="A144" s="2">
        <v>142</v>
      </c>
      <c r="B144" s="5" t="s">
        <v>134</v>
      </c>
      <c r="C144" s="7" t="s">
        <v>152</v>
      </c>
      <c r="D144" s="6"/>
      <c r="E144" s="7" t="s">
        <v>151</v>
      </c>
      <c r="F144" s="4">
        <v>2</v>
      </c>
      <c r="G144" s="2">
        <f>IFERROR(MATCH(C144,{"Mo";"Di";"Mi";"Do";"Fr"},0),0)^1+1*IFERROR(MATCH(D144,{"Mo";"Di";"Mi";"Do";"Fr"},0),0)^2+2*IFERROR(MATCH(E144,{"Mo";"Di";"Mi";"Do";"Fr"},0),0)^3+3*F144^4+4</f>
        <v>305</v>
      </c>
      <c r="I144" s="2" t="e">
        <f t="array" ref="I144">INDEX($G$3:$G$160,MATCH(0,COUNTIF(I$1:$I143,$G$3:$G$160),0))</f>
        <v>#N/A</v>
      </c>
      <c r="J144" s="2"/>
      <c r="K144" s="2"/>
      <c r="L144" s="31"/>
    </row>
    <row r="145" spans="1:12" x14ac:dyDescent="0.3">
      <c r="A145" s="2">
        <v>143</v>
      </c>
      <c r="B145" s="5" t="s">
        <v>135</v>
      </c>
      <c r="C145" s="6"/>
      <c r="D145" s="7" t="s">
        <v>150</v>
      </c>
      <c r="E145" s="7" t="s">
        <v>150</v>
      </c>
      <c r="F145" s="4">
        <v>4</v>
      </c>
      <c r="G145" s="2">
        <f>IFERROR(MATCH(C145,{"Mo";"Di";"Mi";"Do";"Fr"},0),0)^1+1*IFERROR(MATCH(D145,{"Mo";"Di";"Mi";"Do";"Fr"},0),0)^2+2*IFERROR(MATCH(E145,{"Mo";"Di";"Mi";"Do";"Fr"},0),0)^3+3*F145^4+4</f>
        <v>916</v>
      </c>
      <c r="I145" s="2" t="e">
        <f t="array" ref="I145">INDEX($G$3:$G$160,MATCH(0,COUNTIF(I$1:$I144,$G$3:$G$160),0))</f>
        <v>#N/A</v>
      </c>
      <c r="J145" s="2"/>
      <c r="K145" s="2"/>
      <c r="L145" s="31"/>
    </row>
    <row r="146" spans="1:12" x14ac:dyDescent="0.3">
      <c r="A146" s="2">
        <v>144</v>
      </c>
      <c r="B146" s="5" t="s">
        <v>136</v>
      </c>
      <c r="C146" s="7" t="s">
        <v>152</v>
      </c>
      <c r="D146" s="6"/>
      <c r="E146" s="7" t="s">
        <v>150</v>
      </c>
      <c r="F146" s="4">
        <v>3</v>
      </c>
      <c r="G146" s="2">
        <f>IFERROR(MATCH(C146,{"Mo";"Di";"Mi";"Do";"Fr"},0),0)^1+1*IFERROR(MATCH(D146,{"Mo";"Di";"Mi";"Do";"Fr"},0),0)^2+2*IFERROR(MATCH(E146,{"Mo";"Di";"Mi";"Do";"Fr"},0),0)^3+3*F146^4+4</f>
        <v>378</v>
      </c>
      <c r="I146" s="2" t="e">
        <f t="array" ref="I146">INDEX($G$3:$G$160,MATCH(0,COUNTIF(I$1:$I145,$G$3:$G$160),0))</f>
        <v>#N/A</v>
      </c>
      <c r="J146" s="2"/>
      <c r="K146" s="2"/>
      <c r="L146" s="31"/>
    </row>
    <row r="147" spans="1:12" x14ac:dyDescent="0.3">
      <c r="A147" s="2">
        <v>145</v>
      </c>
      <c r="B147" s="5" t="s">
        <v>137</v>
      </c>
      <c r="C147" s="6"/>
      <c r="D147" s="7" t="s">
        <v>150</v>
      </c>
      <c r="E147" s="7" t="s">
        <v>150</v>
      </c>
      <c r="F147" s="4">
        <v>3</v>
      </c>
      <c r="G147" s="2">
        <f>IFERROR(MATCH(C147,{"Mo";"Di";"Mi";"Do";"Fr"},0),0)^1+1*IFERROR(MATCH(D147,{"Mo";"Di";"Mi";"Do";"Fr"},0),0)^2+2*IFERROR(MATCH(E147,{"Mo";"Di";"Mi";"Do";"Fr"},0),0)^3+3*F147^4+4</f>
        <v>391</v>
      </c>
      <c r="I147" s="2" t="e">
        <f t="array" ref="I147">INDEX($G$3:$G$160,MATCH(0,COUNTIF(I$1:$I146,$G$3:$G$160),0))</f>
        <v>#N/A</v>
      </c>
      <c r="J147" s="2"/>
      <c r="K147" s="2"/>
      <c r="L147" s="31"/>
    </row>
    <row r="148" spans="1:12" x14ac:dyDescent="0.3">
      <c r="A148" s="2">
        <v>146</v>
      </c>
      <c r="B148" s="5" t="s">
        <v>138</v>
      </c>
      <c r="C148" s="6"/>
      <c r="D148" s="7" t="s">
        <v>150</v>
      </c>
      <c r="E148" s="7" t="s">
        <v>150</v>
      </c>
      <c r="F148" s="4">
        <v>3</v>
      </c>
      <c r="G148" s="2">
        <f>IFERROR(MATCH(C148,{"Mo";"Di";"Mi";"Do";"Fr"},0),0)^1+1*IFERROR(MATCH(D148,{"Mo";"Di";"Mi";"Do";"Fr"},0),0)^2+2*IFERROR(MATCH(E148,{"Mo";"Di";"Mi";"Do";"Fr"},0),0)^3+3*F148^4+4</f>
        <v>391</v>
      </c>
      <c r="I148" s="2" t="e">
        <f t="array" ref="I148">INDEX($G$3:$G$160,MATCH(0,COUNTIF(I$1:$I147,$G$3:$G$160),0))</f>
        <v>#N/A</v>
      </c>
      <c r="J148" s="2"/>
      <c r="K148" s="2"/>
      <c r="L148" s="31"/>
    </row>
    <row r="149" spans="1:12" x14ac:dyDescent="0.3">
      <c r="A149" s="2">
        <v>147</v>
      </c>
      <c r="B149" s="5" t="s">
        <v>139</v>
      </c>
      <c r="C149" s="6"/>
      <c r="D149" s="7" t="s">
        <v>152</v>
      </c>
      <c r="E149" s="7" t="s">
        <v>152</v>
      </c>
      <c r="F149" s="4">
        <v>2</v>
      </c>
      <c r="G149" s="2">
        <f>IFERROR(MATCH(C149,{"Mo";"Di";"Mi";"Do";"Fr"},0),0)^1+1*IFERROR(MATCH(D149,{"Mo";"Di";"Mi";"Do";"Fr"},0),0)^2+2*IFERROR(MATCH(E149,{"Mo";"Di";"Mi";"Do";"Fr"},0),0)^3+3*F149^4+4</f>
        <v>115</v>
      </c>
      <c r="I149" s="2" t="e">
        <f t="array" ref="I149">INDEX($G$3:$G$160,MATCH(0,COUNTIF(I$1:$I148,$G$3:$G$160),0))</f>
        <v>#N/A</v>
      </c>
      <c r="J149" s="2"/>
      <c r="K149" s="2"/>
      <c r="L149" s="31"/>
    </row>
    <row r="150" spans="1:12" x14ac:dyDescent="0.3">
      <c r="A150" s="2">
        <v>148</v>
      </c>
      <c r="B150" s="5" t="s">
        <v>140</v>
      </c>
      <c r="C150" s="6"/>
      <c r="D150" s="7" t="s">
        <v>151</v>
      </c>
      <c r="E150" s="7" t="s">
        <v>151</v>
      </c>
      <c r="F150" s="4">
        <v>1</v>
      </c>
      <c r="G150" s="2">
        <f>IFERROR(MATCH(C150,{"Mo";"Di";"Mi";"Do";"Fr"},0),0)^1+1*IFERROR(MATCH(D150,{"Mo";"Di";"Mi";"Do";"Fr"},0),0)^2+2*IFERROR(MATCH(E150,{"Mo";"Di";"Mi";"Do";"Fr"},0),0)^3+3*F150^4+4</f>
        <v>282</v>
      </c>
      <c r="I150" s="2" t="e">
        <f t="array" ref="I150">INDEX($G$3:$G$160,MATCH(0,COUNTIF(I$1:$I149,$G$3:$G$160),0))</f>
        <v>#N/A</v>
      </c>
      <c r="J150" s="2"/>
      <c r="K150" s="2"/>
      <c r="L150" s="31"/>
    </row>
    <row r="151" spans="1:12" x14ac:dyDescent="0.3">
      <c r="A151" s="2">
        <v>149</v>
      </c>
      <c r="B151" s="5" t="s">
        <v>141</v>
      </c>
      <c r="C151" s="6"/>
      <c r="D151" s="7" t="s">
        <v>152</v>
      </c>
      <c r="E151" s="7" t="s">
        <v>152</v>
      </c>
      <c r="F151" s="4">
        <v>2</v>
      </c>
      <c r="G151" s="2">
        <f>IFERROR(MATCH(C151,{"Mo";"Di";"Mi";"Do";"Fr"},0),0)^1+1*IFERROR(MATCH(D151,{"Mo";"Di";"Mi";"Do";"Fr"},0),0)^2+2*IFERROR(MATCH(E151,{"Mo";"Di";"Mi";"Do";"Fr"},0),0)^3+3*F151^4+4</f>
        <v>115</v>
      </c>
      <c r="I151" s="2" t="e">
        <f t="array" ref="I151">INDEX($G$3:$G$160,MATCH(0,COUNTIF(I$1:$I150,$G$3:$G$160),0))</f>
        <v>#N/A</v>
      </c>
      <c r="J151" s="2"/>
      <c r="K151" s="2"/>
      <c r="L151" s="31"/>
    </row>
    <row r="152" spans="1:12" x14ac:dyDescent="0.3">
      <c r="A152" s="2">
        <v>150</v>
      </c>
      <c r="B152" s="5" t="s">
        <v>142</v>
      </c>
      <c r="C152" s="6"/>
      <c r="D152" s="7" t="s">
        <v>150</v>
      </c>
      <c r="E152" s="7" t="s">
        <v>150</v>
      </c>
      <c r="F152" s="4">
        <v>4</v>
      </c>
      <c r="G152" s="2">
        <f>IFERROR(MATCH(C152,{"Mo";"Di";"Mi";"Do";"Fr"},0),0)^1+1*IFERROR(MATCH(D152,{"Mo";"Di";"Mi";"Do";"Fr"},0),0)^2+2*IFERROR(MATCH(E152,{"Mo";"Di";"Mi";"Do";"Fr"},0),0)^3+3*F152^4+4</f>
        <v>916</v>
      </c>
      <c r="I152" s="2" t="e">
        <f t="array" ref="I152">INDEX($G$3:$G$160,MATCH(0,COUNTIF(I$1:$I151,$G$3:$G$160),0))</f>
        <v>#N/A</v>
      </c>
      <c r="J152" s="2"/>
      <c r="K152" s="2"/>
      <c r="L152" s="31"/>
    </row>
    <row r="153" spans="1:12" x14ac:dyDescent="0.3">
      <c r="A153" s="2">
        <v>151</v>
      </c>
      <c r="B153" s="5" t="s">
        <v>143</v>
      </c>
      <c r="C153" s="6"/>
      <c r="D153" s="7" t="s">
        <v>152</v>
      </c>
      <c r="E153" s="7" t="s">
        <v>150</v>
      </c>
      <c r="F153" s="4">
        <v>1</v>
      </c>
      <c r="G153" s="2">
        <f>IFERROR(MATCH(C153,{"Mo";"Di";"Mi";"Do";"Fr"},0),0)^1+1*IFERROR(MATCH(D153,{"Mo";"Di";"Mi";"Do";"Fr"},0),0)^2+2*IFERROR(MATCH(E153,{"Mo";"Di";"Mi";"Do";"Fr"},0),0)^3+3*F153^4+4</f>
        <v>144</v>
      </c>
      <c r="I153" s="2" t="e">
        <f t="array" ref="I153">INDEX($G$3:$G$160,MATCH(0,COUNTIF(I$1:$I152,$G$3:$G$160),0))</f>
        <v>#N/A</v>
      </c>
      <c r="J153" s="2"/>
      <c r="K153" s="2"/>
      <c r="L153" s="31"/>
    </row>
    <row r="154" spans="1:12" x14ac:dyDescent="0.3">
      <c r="A154" s="2">
        <v>152</v>
      </c>
      <c r="B154" s="5" t="s">
        <v>144</v>
      </c>
      <c r="C154" s="6"/>
      <c r="D154" s="7" t="s">
        <v>150</v>
      </c>
      <c r="E154" s="7" t="s">
        <v>150</v>
      </c>
      <c r="F154" s="4">
        <v>4</v>
      </c>
      <c r="G154" s="2">
        <f>IFERROR(MATCH(C154,{"Mo";"Di";"Mi";"Do";"Fr"},0),0)^1+1*IFERROR(MATCH(D154,{"Mo";"Di";"Mi";"Do";"Fr"},0),0)^2+2*IFERROR(MATCH(E154,{"Mo";"Di";"Mi";"Do";"Fr"},0),0)^3+3*F154^4+4</f>
        <v>916</v>
      </c>
      <c r="I154" s="2" t="e">
        <f t="array" ref="I154">INDEX($G$3:$G$160,MATCH(0,COUNTIF(I$1:$I153,$G$3:$G$160),0))</f>
        <v>#N/A</v>
      </c>
      <c r="J154" s="2"/>
      <c r="K154" s="2"/>
      <c r="L154" s="31"/>
    </row>
    <row r="155" spans="1:12" x14ac:dyDescent="0.3">
      <c r="A155" s="2">
        <v>153</v>
      </c>
      <c r="B155" s="5" t="s">
        <v>145</v>
      </c>
      <c r="C155" s="6"/>
      <c r="D155" s="7" t="s">
        <v>151</v>
      </c>
      <c r="E155" s="7" t="s">
        <v>151</v>
      </c>
      <c r="F155" s="4">
        <v>3</v>
      </c>
      <c r="G155" s="2">
        <f>IFERROR(MATCH(C155,{"Mo";"Di";"Mi";"Do";"Fr"},0),0)^1+1*IFERROR(MATCH(D155,{"Mo";"Di";"Mi";"Do";"Fr"},0),0)^2+2*IFERROR(MATCH(E155,{"Mo";"Di";"Mi";"Do";"Fr"},0),0)^3+3*F155^4+4</f>
        <v>522</v>
      </c>
      <c r="I155" s="2" t="e">
        <f t="array" ref="I155">INDEX($G$3:$G$160,MATCH(0,COUNTIF(I$1:$I154,$G$3:$G$160),0))</f>
        <v>#N/A</v>
      </c>
      <c r="J155" s="2"/>
      <c r="K155" s="2"/>
      <c r="L155" s="31"/>
    </row>
    <row r="156" spans="1:12" x14ac:dyDescent="0.3">
      <c r="A156" s="2">
        <v>154</v>
      </c>
      <c r="B156" s="5" t="s">
        <v>146</v>
      </c>
      <c r="C156" s="6"/>
      <c r="D156" s="7" t="s">
        <v>151</v>
      </c>
      <c r="E156" s="7" t="s">
        <v>151</v>
      </c>
      <c r="F156" s="4">
        <v>1</v>
      </c>
      <c r="G156" s="2">
        <f>IFERROR(MATCH(C156,{"Mo";"Di";"Mi";"Do";"Fr"},0),0)^1+1*IFERROR(MATCH(D156,{"Mo";"Di";"Mi";"Do";"Fr"},0),0)^2+2*IFERROR(MATCH(E156,{"Mo";"Di";"Mi";"Do";"Fr"},0),0)^3+3*F156^4+4</f>
        <v>282</v>
      </c>
      <c r="I156" s="2" t="e">
        <f t="array" ref="I156">INDEX($G$3:$G$160,MATCH(0,COUNTIF(I$1:$I155,$G$3:$G$160),0))</f>
        <v>#N/A</v>
      </c>
      <c r="J156" s="2"/>
      <c r="K156" s="2"/>
      <c r="L156" s="31"/>
    </row>
    <row r="157" spans="1:12" x14ac:dyDescent="0.3">
      <c r="A157" s="2">
        <v>155</v>
      </c>
      <c r="B157" s="5" t="s">
        <v>147</v>
      </c>
      <c r="C157" s="7" t="s">
        <v>152</v>
      </c>
      <c r="D157" s="6"/>
      <c r="E157" s="7" t="s">
        <v>151</v>
      </c>
      <c r="F157" s="4">
        <v>2</v>
      </c>
      <c r="G157" s="2">
        <f>IFERROR(MATCH(C157,{"Mo";"Di";"Mi";"Do";"Fr"},0),0)^1+1*IFERROR(MATCH(D157,{"Mo";"Di";"Mi";"Do";"Fr"},0),0)^2+2*IFERROR(MATCH(E157,{"Mo";"Di";"Mi";"Do";"Fr"},0),0)^3+3*F157^4+4</f>
        <v>305</v>
      </c>
      <c r="I157" s="2" t="e">
        <f t="array" ref="I157">INDEX($G$3:$G$160,MATCH(0,COUNTIF(I$1:$I156,$G$3:$G$160),0))</f>
        <v>#N/A</v>
      </c>
      <c r="J157" s="2"/>
      <c r="K157" s="2"/>
      <c r="L157" s="31"/>
    </row>
    <row r="158" spans="1:12" x14ac:dyDescent="0.3">
      <c r="A158" s="2">
        <v>156</v>
      </c>
      <c r="B158" s="5" t="s">
        <v>5</v>
      </c>
      <c r="C158" s="7" t="s">
        <v>152</v>
      </c>
      <c r="D158" s="6"/>
      <c r="E158" s="7" t="s">
        <v>151</v>
      </c>
      <c r="F158" s="4">
        <v>3</v>
      </c>
      <c r="G158" s="2">
        <f>IFERROR(MATCH(C158,{"Mo";"Di";"Mi";"Do";"Fr"},0),0)^1+1*IFERROR(MATCH(D158,{"Mo";"Di";"Mi";"Do";"Fr"},0),0)^2+2*IFERROR(MATCH(E158,{"Mo";"Di";"Mi";"Do";"Fr"},0),0)^3+3*F158^4+4</f>
        <v>500</v>
      </c>
      <c r="I158" s="2" t="e">
        <f t="array" ref="I158">INDEX($G$3:$G$160,MATCH(0,COUNTIF(I$1:$I157,$G$3:$G$160),0))</f>
        <v>#N/A</v>
      </c>
      <c r="J158" s="2"/>
      <c r="K158" s="2"/>
      <c r="L158" s="31"/>
    </row>
    <row r="159" spans="1:12" x14ac:dyDescent="0.3">
      <c r="A159" s="2">
        <v>157</v>
      </c>
      <c r="B159" s="5" t="s">
        <v>148</v>
      </c>
      <c r="C159" s="6"/>
      <c r="D159" s="7" t="s">
        <v>152</v>
      </c>
      <c r="E159" s="7" t="s">
        <v>152</v>
      </c>
      <c r="F159" s="4">
        <v>1</v>
      </c>
      <c r="G159" s="2">
        <f>IFERROR(MATCH(C159,{"Mo";"Di";"Mi";"Do";"Fr"},0),0)^1+1*IFERROR(MATCH(D159,{"Mo";"Di";"Mi";"Do";"Fr"},0),0)^2+2*IFERROR(MATCH(E159,{"Mo";"Di";"Mi";"Do";"Fr"},0),0)^3+3*F159^4+4</f>
        <v>70</v>
      </c>
      <c r="I159" s="2" t="e">
        <f t="array" ref="I159">INDEX($G$3:$G$160,MATCH(0,COUNTIF(I$1:$I158,$G$3:$G$160),0))</f>
        <v>#N/A</v>
      </c>
      <c r="J159" s="2"/>
      <c r="K159" s="2"/>
      <c r="L159" s="31"/>
    </row>
    <row r="160" spans="1:12" x14ac:dyDescent="0.3">
      <c r="A160" s="2">
        <v>158</v>
      </c>
      <c r="B160" s="5" t="s">
        <v>149</v>
      </c>
      <c r="C160" s="6"/>
      <c r="D160" s="7" t="s">
        <v>152</v>
      </c>
      <c r="E160" s="7" t="s">
        <v>150</v>
      </c>
      <c r="F160" s="4">
        <v>1</v>
      </c>
      <c r="G160" s="2">
        <f>IFERROR(MATCH(C160,{"Mo";"Di";"Mi";"Do";"Fr"},0),0)^1+1*IFERROR(MATCH(D160,{"Mo";"Di";"Mi";"Do";"Fr"},0),0)^2+2*IFERROR(MATCH(E160,{"Mo";"Di";"Mi";"Do";"Fr"},0),0)^3+3*F160^4+4</f>
        <v>144</v>
      </c>
      <c r="I160" s="2" t="e">
        <f t="array" ref="I160">INDEX($G$3:$G$160,MATCH(0,COUNTIF(I$1:$I159,$G$3:$G$160),0))</f>
        <v>#N/A</v>
      </c>
      <c r="J160" s="2"/>
      <c r="K160" s="2"/>
      <c r="L160" s="31"/>
    </row>
    <row r="161" spans="1:8" x14ac:dyDescent="0.3">
      <c r="A161" s="45" t="s">
        <v>158</v>
      </c>
      <c r="B161" s="45"/>
      <c r="C161" s="45"/>
      <c r="D161" s="45"/>
      <c r="E161" s="45"/>
      <c r="F161" s="45"/>
      <c r="G161" s="45"/>
      <c r="H161" s="8">
        <f>SUM(IF(FREQUENCY(G3:G160,G3:G160)&gt;0,1))</f>
        <v>20</v>
      </c>
    </row>
    <row r="162" spans="1:8" x14ac:dyDescent="0.3">
      <c r="F162" s="1">
        <v>1</v>
      </c>
    </row>
    <row r="163" spans="1:8" x14ac:dyDescent="0.3">
      <c r="F163" s="1">
        <v>2</v>
      </c>
    </row>
    <row r="164" spans="1:8" x14ac:dyDescent="0.3">
      <c r="F164" s="1">
        <v>3</v>
      </c>
    </row>
    <row r="165" spans="1:8" x14ac:dyDescent="0.3">
      <c r="F165" s="1">
        <v>4</v>
      </c>
    </row>
  </sheetData>
  <autoFilter ref="A2:G165" xr:uid="{7CD2A71F-F697-4F9E-BAB5-58EE4095B7FB}"/>
  <mergeCells count="11">
    <mergeCell ref="K1:K2"/>
    <mergeCell ref="L1:L2"/>
    <mergeCell ref="A161:G161"/>
    <mergeCell ref="I1:I2"/>
    <mergeCell ref="J1:J2"/>
    <mergeCell ref="B1:B2"/>
    <mergeCell ref="C1:D1"/>
    <mergeCell ref="F1:F2"/>
    <mergeCell ref="A1:A2"/>
    <mergeCell ref="G1:G2"/>
    <mergeCell ref="H1:H2"/>
  </mergeCells>
  <dataValidations count="1">
    <dataValidation type="list" allowBlank="1" showInputMessage="1" showErrorMessage="1" sqref="F3:F160" xr:uid="{CDF76162-EB4E-43BC-920F-DA58413AC1BA}">
      <formula1>$F$162:$F$166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992-547B-415A-A6FC-E4D34F5C8B24}">
  <sheetPr codeName="Tabelle2"/>
  <dimension ref="A1:J31"/>
  <sheetViews>
    <sheetView zoomScaleNormal="100" workbookViewId="0">
      <pane ySplit="3" topLeftCell="A6" activePane="bottomLeft" state="frozen"/>
      <selection pane="bottomLeft" activeCell="F30" sqref="F30"/>
    </sheetView>
  </sheetViews>
  <sheetFormatPr baseColWidth="10" defaultRowHeight="14.4" x14ac:dyDescent="0.3"/>
  <cols>
    <col min="1" max="2" width="11.5546875" style="1"/>
    <col min="3" max="3" width="13" style="1" customWidth="1"/>
    <col min="4" max="6" width="11.5546875" style="1"/>
    <col min="7" max="7" width="12.6640625" style="1" customWidth="1"/>
    <col min="8" max="10" width="11.5546875" style="1"/>
  </cols>
  <sheetData>
    <row r="1" spans="1:10" x14ac:dyDescent="0.3">
      <c r="A1" s="14" t="s">
        <v>162</v>
      </c>
      <c r="B1" s="14">
        <f>Config!B1</f>
        <v>2026</v>
      </c>
      <c r="C1" s="58" t="s">
        <v>170</v>
      </c>
      <c r="D1" s="58"/>
      <c r="E1" s="58"/>
      <c r="F1" s="58"/>
      <c r="G1" s="59" t="s">
        <v>171</v>
      </c>
      <c r="H1" s="59"/>
      <c r="I1" s="59"/>
      <c r="J1" s="59"/>
    </row>
    <row r="2" spans="1:10" x14ac:dyDescent="0.3">
      <c r="A2" s="55" t="s">
        <v>160</v>
      </c>
      <c r="B2" s="55" t="s">
        <v>161</v>
      </c>
      <c r="C2" s="17" t="s">
        <v>164</v>
      </c>
      <c r="D2" s="56" t="s">
        <v>163</v>
      </c>
      <c r="E2" s="56"/>
      <c r="F2" s="56"/>
      <c r="G2" s="18" t="s">
        <v>164</v>
      </c>
      <c r="H2" s="57" t="s">
        <v>163</v>
      </c>
      <c r="I2" s="57"/>
      <c r="J2" s="57"/>
    </row>
    <row r="3" spans="1:10" s="9" customFormat="1" x14ac:dyDescent="0.3">
      <c r="A3" s="55"/>
      <c r="B3" s="55"/>
      <c r="C3" s="15" t="s">
        <v>178</v>
      </c>
      <c r="D3" s="15" t="s">
        <v>179</v>
      </c>
      <c r="E3" s="15" t="s">
        <v>180</v>
      </c>
      <c r="F3" s="15" t="s">
        <v>181</v>
      </c>
      <c r="G3" s="16" t="s">
        <v>182</v>
      </c>
      <c r="H3" s="16" t="s">
        <v>183</v>
      </c>
      <c r="I3" s="16" t="s">
        <v>184</v>
      </c>
      <c r="J3" s="16" t="s">
        <v>185</v>
      </c>
    </row>
    <row r="4" spans="1:10" x14ac:dyDescent="0.3">
      <c r="A4" s="2">
        <v>1</v>
      </c>
      <c r="B4" s="2">
        <v>2</v>
      </c>
      <c r="C4" s="12">
        <f>DATE($B$1,1,7*$A4-1-WEEKDAY(DATE($B$1,,),3))</f>
        <v>46022</v>
      </c>
      <c r="D4" s="12">
        <f>DATE($B$1,1,7*$B4-1-WEEKDAY(DATE($B$1,,),3))</f>
        <v>46029</v>
      </c>
      <c r="E4" s="12">
        <f>DATE($B$1,1,7*$B4+0-WEEKDAY(DATE($B$1,,),3))</f>
        <v>46030</v>
      </c>
      <c r="F4" s="12">
        <f>DATE($B$1,1,7*$B4+1-WEEKDAY(DATE($B$1,,),3))</f>
        <v>46031</v>
      </c>
      <c r="G4" s="13">
        <v>46022</v>
      </c>
      <c r="H4" s="13">
        <v>46030</v>
      </c>
      <c r="I4" s="13">
        <v>46031</v>
      </c>
      <c r="J4" s="13">
        <v>46032</v>
      </c>
    </row>
    <row r="5" spans="1:10" x14ac:dyDescent="0.3">
      <c r="A5" s="2">
        <v>3</v>
      </c>
      <c r="B5" s="2">
        <v>4</v>
      </c>
      <c r="C5" s="12">
        <f>DATE($B$1,1,7*$A5-1-WEEKDAY(DATE($B$1,,),3))</f>
        <v>46036</v>
      </c>
      <c r="D5" s="12">
        <f t="shared" ref="D5:D29" si="0">DATE($B$1,1,7*$B5-1-WEEKDAY(DATE($B$1,,),3))</f>
        <v>46043</v>
      </c>
      <c r="E5" s="12">
        <f t="shared" ref="E5:E29" si="1">DATE($B$1,1,7*$B5+0-WEEKDAY(DATE($B$1,,),3))</f>
        <v>46044</v>
      </c>
      <c r="F5" s="12">
        <f t="shared" ref="F5:F29" si="2">DATE($B$1,1,7*$B5+1-WEEKDAY(DATE($B$1,,),3))</f>
        <v>46045</v>
      </c>
      <c r="G5" s="13">
        <v>46036</v>
      </c>
      <c r="H5" s="13">
        <v>46043</v>
      </c>
      <c r="I5" s="13">
        <v>46044</v>
      </c>
      <c r="J5" s="13">
        <v>46045</v>
      </c>
    </row>
    <row r="6" spans="1:10" x14ac:dyDescent="0.3">
      <c r="A6" s="2">
        <v>5</v>
      </c>
      <c r="B6" s="2">
        <v>6</v>
      </c>
      <c r="C6" s="12">
        <f t="shared" ref="C6:C30" si="3">DATE($B$1,1,7*$A6-1-WEEKDAY(DATE($B$1,,),3))</f>
        <v>46050</v>
      </c>
      <c r="D6" s="12">
        <f t="shared" si="0"/>
        <v>46057</v>
      </c>
      <c r="E6" s="12">
        <f t="shared" si="1"/>
        <v>46058</v>
      </c>
      <c r="F6" s="12">
        <f t="shared" si="2"/>
        <v>46059</v>
      </c>
      <c r="G6" s="13">
        <v>46050</v>
      </c>
      <c r="H6" s="13">
        <v>46057</v>
      </c>
      <c r="I6" s="13">
        <v>46058</v>
      </c>
      <c r="J6" s="13">
        <v>46059</v>
      </c>
    </row>
    <row r="7" spans="1:10" x14ac:dyDescent="0.3">
      <c r="A7" s="2">
        <v>7</v>
      </c>
      <c r="B7" s="2">
        <v>8</v>
      </c>
      <c r="C7" s="12">
        <f t="shared" si="3"/>
        <v>46064</v>
      </c>
      <c r="D7" s="12">
        <f t="shared" si="0"/>
        <v>46071</v>
      </c>
      <c r="E7" s="12">
        <f t="shared" si="1"/>
        <v>46072</v>
      </c>
      <c r="F7" s="12">
        <f t="shared" si="2"/>
        <v>46073</v>
      </c>
      <c r="G7" s="13">
        <v>46064</v>
      </c>
      <c r="H7" s="13">
        <v>46071</v>
      </c>
      <c r="I7" s="13">
        <v>46072</v>
      </c>
      <c r="J7" s="13">
        <v>46073</v>
      </c>
    </row>
    <row r="8" spans="1:10" x14ac:dyDescent="0.3">
      <c r="A8" s="2">
        <v>9</v>
      </c>
      <c r="B8" s="2">
        <v>10</v>
      </c>
      <c r="C8" s="12">
        <f t="shared" si="3"/>
        <v>46078</v>
      </c>
      <c r="D8" s="12">
        <f t="shared" si="0"/>
        <v>46085</v>
      </c>
      <c r="E8" s="12">
        <f t="shared" si="1"/>
        <v>46086</v>
      </c>
      <c r="F8" s="12">
        <f t="shared" si="2"/>
        <v>46087</v>
      </c>
      <c r="G8" s="13">
        <v>46078</v>
      </c>
      <c r="H8" s="13">
        <v>46085</v>
      </c>
      <c r="I8" s="13">
        <v>46086</v>
      </c>
      <c r="J8" s="13">
        <v>46087</v>
      </c>
    </row>
    <row r="9" spans="1:10" x14ac:dyDescent="0.3">
      <c r="A9" s="2">
        <v>11</v>
      </c>
      <c r="B9" s="2">
        <v>12</v>
      </c>
      <c r="C9" s="12">
        <f t="shared" si="3"/>
        <v>46092</v>
      </c>
      <c r="D9" s="12">
        <f t="shared" si="0"/>
        <v>46099</v>
      </c>
      <c r="E9" s="12">
        <f t="shared" si="1"/>
        <v>46100</v>
      </c>
      <c r="F9" s="12">
        <f t="shared" si="2"/>
        <v>46101</v>
      </c>
      <c r="G9" s="13">
        <v>46092</v>
      </c>
      <c r="H9" s="13">
        <v>46099</v>
      </c>
      <c r="I9" s="13">
        <v>46100</v>
      </c>
      <c r="J9" s="13">
        <v>46101</v>
      </c>
    </row>
    <row r="10" spans="1:10" x14ac:dyDescent="0.3">
      <c r="A10" s="2">
        <v>13</v>
      </c>
      <c r="B10" s="2">
        <v>14</v>
      </c>
      <c r="C10" s="12">
        <f t="shared" si="3"/>
        <v>46106</v>
      </c>
      <c r="D10" s="12">
        <f t="shared" si="0"/>
        <v>46113</v>
      </c>
      <c r="E10" s="12">
        <f t="shared" si="1"/>
        <v>46114</v>
      </c>
      <c r="F10" s="12">
        <f t="shared" si="2"/>
        <v>46115</v>
      </c>
      <c r="G10" s="13">
        <v>46106</v>
      </c>
      <c r="H10" s="13">
        <v>46112</v>
      </c>
      <c r="I10" s="13">
        <v>46113</v>
      </c>
      <c r="J10" s="13">
        <v>46114</v>
      </c>
    </row>
    <row r="11" spans="1:10" x14ac:dyDescent="0.3">
      <c r="A11" s="2">
        <v>15</v>
      </c>
      <c r="B11" s="2">
        <v>16</v>
      </c>
      <c r="C11" s="12">
        <f t="shared" si="3"/>
        <v>46120</v>
      </c>
      <c r="D11" s="12">
        <f t="shared" si="0"/>
        <v>46127</v>
      </c>
      <c r="E11" s="12">
        <f t="shared" si="1"/>
        <v>46128</v>
      </c>
      <c r="F11" s="12">
        <f t="shared" si="2"/>
        <v>46129</v>
      </c>
      <c r="G11" s="13">
        <v>46121</v>
      </c>
      <c r="H11" s="13">
        <v>46127</v>
      </c>
      <c r="I11" s="13">
        <v>46128</v>
      </c>
      <c r="J11" s="13">
        <v>46129</v>
      </c>
    </row>
    <row r="12" spans="1:10" x14ac:dyDescent="0.3">
      <c r="A12" s="2">
        <v>17</v>
      </c>
      <c r="B12" s="2">
        <v>18</v>
      </c>
      <c r="C12" s="12">
        <f t="shared" si="3"/>
        <v>46134</v>
      </c>
      <c r="D12" s="12">
        <f t="shared" si="0"/>
        <v>46141</v>
      </c>
      <c r="E12" s="12">
        <f t="shared" si="1"/>
        <v>46142</v>
      </c>
      <c r="F12" s="12">
        <f t="shared" si="2"/>
        <v>46143</v>
      </c>
      <c r="G12" s="13">
        <v>46134</v>
      </c>
      <c r="H12" s="13">
        <v>46141</v>
      </c>
      <c r="I12" s="13">
        <v>46142</v>
      </c>
      <c r="J12" s="13">
        <v>46144</v>
      </c>
    </row>
    <row r="13" spans="1:10" x14ac:dyDescent="0.3">
      <c r="A13" s="2">
        <v>19</v>
      </c>
      <c r="B13" s="2">
        <v>20</v>
      </c>
      <c r="C13" s="12">
        <f t="shared" si="3"/>
        <v>46148</v>
      </c>
      <c r="D13" s="12">
        <f t="shared" si="0"/>
        <v>46155</v>
      </c>
      <c r="E13" s="12">
        <f t="shared" si="1"/>
        <v>46156</v>
      </c>
      <c r="F13" s="12">
        <f t="shared" si="2"/>
        <v>46157</v>
      </c>
      <c r="G13" s="13">
        <v>46148</v>
      </c>
      <c r="H13" s="13">
        <v>46155</v>
      </c>
      <c r="I13" s="13">
        <v>46157</v>
      </c>
      <c r="J13" s="13">
        <v>46158</v>
      </c>
    </row>
    <row r="14" spans="1:10" x14ac:dyDescent="0.3">
      <c r="A14" s="2">
        <v>21</v>
      </c>
      <c r="B14" s="2">
        <v>22</v>
      </c>
      <c r="C14" s="12">
        <f t="shared" si="3"/>
        <v>46162</v>
      </c>
      <c r="D14" s="12">
        <f t="shared" si="0"/>
        <v>46169</v>
      </c>
      <c r="E14" s="12">
        <f t="shared" si="1"/>
        <v>46170</v>
      </c>
      <c r="F14" s="12">
        <f t="shared" si="2"/>
        <v>46171</v>
      </c>
      <c r="G14" s="13">
        <v>46162</v>
      </c>
      <c r="H14" s="13">
        <v>46170</v>
      </c>
      <c r="I14" s="13">
        <v>46171</v>
      </c>
      <c r="J14" s="13">
        <v>46172</v>
      </c>
    </row>
    <row r="15" spans="1:10" x14ac:dyDescent="0.3">
      <c r="A15" s="2">
        <v>23</v>
      </c>
      <c r="B15" s="2">
        <v>24</v>
      </c>
      <c r="C15" s="12">
        <f t="shared" si="3"/>
        <v>46176</v>
      </c>
      <c r="D15" s="12">
        <f t="shared" si="0"/>
        <v>46183</v>
      </c>
      <c r="E15" s="12">
        <f t="shared" si="1"/>
        <v>46184</v>
      </c>
      <c r="F15" s="12">
        <f t="shared" si="2"/>
        <v>46185</v>
      </c>
      <c r="G15" s="13">
        <v>46176</v>
      </c>
      <c r="H15" s="13">
        <v>46183</v>
      </c>
      <c r="I15" s="13">
        <v>46184</v>
      </c>
      <c r="J15" s="13">
        <v>46185</v>
      </c>
    </row>
    <row r="16" spans="1:10" x14ac:dyDescent="0.3">
      <c r="A16" s="2">
        <v>25</v>
      </c>
      <c r="B16" s="2">
        <v>26</v>
      </c>
      <c r="C16" s="12">
        <f t="shared" si="3"/>
        <v>46190</v>
      </c>
      <c r="D16" s="12">
        <f t="shared" si="0"/>
        <v>46197</v>
      </c>
      <c r="E16" s="12">
        <f t="shared" si="1"/>
        <v>46198</v>
      </c>
      <c r="F16" s="12">
        <f t="shared" si="2"/>
        <v>46199</v>
      </c>
      <c r="G16" s="13">
        <v>46190</v>
      </c>
      <c r="H16" s="13">
        <v>46197</v>
      </c>
      <c r="I16" s="13">
        <v>46198</v>
      </c>
      <c r="J16" s="13">
        <v>46199</v>
      </c>
    </row>
    <row r="17" spans="1:10" x14ac:dyDescent="0.3">
      <c r="A17" s="2">
        <v>27</v>
      </c>
      <c r="B17" s="2">
        <v>28</v>
      </c>
      <c r="C17" s="12">
        <f t="shared" si="3"/>
        <v>46204</v>
      </c>
      <c r="D17" s="12">
        <f t="shared" si="0"/>
        <v>46211</v>
      </c>
      <c r="E17" s="12">
        <f t="shared" si="1"/>
        <v>46212</v>
      </c>
      <c r="F17" s="12">
        <f t="shared" si="2"/>
        <v>46213</v>
      </c>
      <c r="G17" s="13">
        <v>46204</v>
      </c>
      <c r="H17" s="13">
        <v>46211</v>
      </c>
      <c r="I17" s="13">
        <v>46212</v>
      </c>
      <c r="J17" s="13">
        <v>46213</v>
      </c>
    </row>
    <row r="18" spans="1:10" x14ac:dyDescent="0.3">
      <c r="A18" s="2">
        <v>29</v>
      </c>
      <c r="B18" s="2">
        <v>30</v>
      </c>
      <c r="C18" s="12">
        <f t="shared" si="3"/>
        <v>46218</v>
      </c>
      <c r="D18" s="12">
        <f t="shared" si="0"/>
        <v>46225</v>
      </c>
      <c r="E18" s="12">
        <f t="shared" si="1"/>
        <v>46226</v>
      </c>
      <c r="F18" s="12">
        <f t="shared" si="2"/>
        <v>46227</v>
      </c>
      <c r="G18" s="13">
        <v>46218</v>
      </c>
      <c r="H18" s="13">
        <v>46225</v>
      </c>
      <c r="I18" s="13">
        <v>46226</v>
      </c>
      <c r="J18" s="13">
        <v>46227</v>
      </c>
    </row>
    <row r="19" spans="1:10" x14ac:dyDescent="0.3">
      <c r="A19" s="2">
        <v>31</v>
      </c>
      <c r="B19" s="2">
        <v>32</v>
      </c>
      <c r="C19" s="12">
        <f t="shared" si="3"/>
        <v>46232</v>
      </c>
      <c r="D19" s="12">
        <f t="shared" si="0"/>
        <v>46239</v>
      </c>
      <c r="E19" s="12">
        <f t="shared" si="1"/>
        <v>46240</v>
      </c>
      <c r="F19" s="12">
        <f t="shared" si="2"/>
        <v>46241</v>
      </c>
      <c r="G19" s="13">
        <v>46232</v>
      </c>
      <c r="H19" s="13">
        <v>46239</v>
      </c>
      <c r="I19" s="13">
        <v>46240</v>
      </c>
      <c r="J19" s="13">
        <v>46241</v>
      </c>
    </row>
    <row r="20" spans="1:10" x14ac:dyDescent="0.3">
      <c r="A20" s="2">
        <v>33</v>
      </c>
      <c r="B20" s="2">
        <v>34</v>
      </c>
      <c r="C20" s="12">
        <f t="shared" si="3"/>
        <v>46246</v>
      </c>
      <c r="D20" s="12">
        <f t="shared" si="0"/>
        <v>46253</v>
      </c>
      <c r="E20" s="12">
        <f t="shared" si="1"/>
        <v>46254</v>
      </c>
      <c r="F20" s="12">
        <f t="shared" si="2"/>
        <v>46255</v>
      </c>
      <c r="G20" s="13">
        <v>46246</v>
      </c>
      <c r="H20" s="13">
        <v>46253</v>
      </c>
      <c r="I20" s="13">
        <v>46254</v>
      </c>
      <c r="J20" s="13">
        <v>46255</v>
      </c>
    </row>
    <row r="21" spans="1:10" x14ac:dyDescent="0.3">
      <c r="A21" s="2">
        <v>35</v>
      </c>
      <c r="B21" s="2">
        <v>36</v>
      </c>
      <c r="C21" s="12">
        <f t="shared" si="3"/>
        <v>46260</v>
      </c>
      <c r="D21" s="12">
        <f t="shared" si="0"/>
        <v>46267</v>
      </c>
      <c r="E21" s="12">
        <f t="shared" si="1"/>
        <v>46268</v>
      </c>
      <c r="F21" s="12">
        <f t="shared" si="2"/>
        <v>46269</v>
      </c>
      <c r="G21" s="13">
        <v>46260</v>
      </c>
      <c r="H21" s="13">
        <v>46267</v>
      </c>
      <c r="I21" s="13">
        <v>46268</v>
      </c>
      <c r="J21" s="13">
        <v>46269</v>
      </c>
    </row>
    <row r="22" spans="1:10" x14ac:dyDescent="0.3">
      <c r="A22" s="2">
        <v>37</v>
      </c>
      <c r="B22" s="2">
        <v>38</v>
      </c>
      <c r="C22" s="12">
        <f t="shared" si="3"/>
        <v>46274</v>
      </c>
      <c r="D22" s="12">
        <f t="shared" si="0"/>
        <v>46281</v>
      </c>
      <c r="E22" s="12">
        <f t="shared" si="1"/>
        <v>46282</v>
      </c>
      <c r="F22" s="12">
        <f t="shared" si="2"/>
        <v>46283</v>
      </c>
      <c r="G22" s="13">
        <v>46274</v>
      </c>
      <c r="H22" s="13">
        <v>46281</v>
      </c>
      <c r="I22" s="13">
        <v>46282</v>
      </c>
      <c r="J22" s="13">
        <v>46283</v>
      </c>
    </row>
    <row r="23" spans="1:10" x14ac:dyDescent="0.3">
      <c r="A23" s="2">
        <v>39</v>
      </c>
      <c r="B23" s="2">
        <v>40</v>
      </c>
      <c r="C23" s="12">
        <f t="shared" si="3"/>
        <v>46288</v>
      </c>
      <c r="D23" s="12">
        <f t="shared" si="0"/>
        <v>46295</v>
      </c>
      <c r="E23" s="12">
        <f t="shared" si="1"/>
        <v>46296</v>
      </c>
      <c r="F23" s="12">
        <f t="shared" si="2"/>
        <v>46297</v>
      </c>
      <c r="G23" s="13">
        <v>46288</v>
      </c>
      <c r="H23" s="13">
        <v>46295</v>
      </c>
      <c r="I23" s="13">
        <v>46296</v>
      </c>
      <c r="J23" s="13">
        <v>46297</v>
      </c>
    </row>
    <row r="24" spans="1:10" x14ac:dyDescent="0.3">
      <c r="A24" s="2">
        <v>41</v>
      </c>
      <c r="B24" s="2">
        <v>42</v>
      </c>
      <c r="C24" s="12">
        <f t="shared" si="3"/>
        <v>46302</v>
      </c>
      <c r="D24" s="12">
        <f t="shared" si="0"/>
        <v>46309</v>
      </c>
      <c r="E24" s="12">
        <f t="shared" si="1"/>
        <v>46310</v>
      </c>
      <c r="F24" s="12">
        <f t="shared" si="2"/>
        <v>46311</v>
      </c>
      <c r="G24" s="13">
        <v>46302</v>
      </c>
      <c r="H24" s="13">
        <v>46309</v>
      </c>
      <c r="I24" s="13">
        <v>46310</v>
      </c>
      <c r="J24" s="13">
        <v>46311</v>
      </c>
    </row>
    <row r="25" spans="1:10" x14ac:dyDescent="0.3">
      <c r="A25" s="2">
        <v>43</v>
      </c>
      <c r="B25" s="2">
        <v>44</v>
      </c>
      <c r="C25" s="12">
        <f t="shared" si="3"/>
        <v>46316</v>
      </c>
      <c r="D25" s="12">
        <f t="shared" si="0"/>
        <v>46323</v>
      </c>
      <c r="E25" s="12">
        <f t="shared" si="1"/>
        <v>46324</v>
      </c>
      <c r="F25" s="12">
        <f t="shared" si="2"/>
        <v>46325</v>
      </c>
      <c r="G25" s="13">
        <v>46316</v>
      </c>
      <c r="H25" s="13">
        <v>46323</v>
      </c>
      <c r="I25" s="13">
        <v>46324</v>
      </c>
      <c r="J25" s="13">
        <v>46325</v>
      </c>
    </row>
    <row r="26" spans="1:10" x14ac:dyDescent="0.3">
      <c r="A26" s="2">
        <v>45</v>
      </c>
      <c r="B26" s="2">
        <v>46</v>
      </c>
      <c r="C26" s="12">
        <f t="shared" si="3"/>
        <v>46330</v>
      </c>
      <c r="D26" s="12">
        <f t="shared" si="0"/>
        <v>46337</v>
      </c>
      <c r="E26" s="12">
        <f t="shared" si="1"/>
        <v>46338</v>
      </c>
      <c r="F26" s="12">
        <f t="shared" si="2"/>
        <v>46339</v>
      </c>
      <c r="G26" s="13">
        <v>46330</v>
      </c>
      <c r="H26" s="13">
        <v>46337</v>
      </c>
      <c r="I26" s="13">
        <v>46338</v>
      </c>
      <c r="J26" s="13">
        <v>46339</v>
      </c>
    </row>
    <row r="27" spans="1:10" x14ac:dyDescent="0.3">
      <c r="A27" s="2">
        <v>47</v>
      </c>
      <c r="B27" s="2">
        <v>48</v>
      </c>
      <c r="C27" s="12">
        <f t="shared" si="3"/>
        <v>46344</v>
      </c>
      <c r="D27" s="12">
        <f t="shared" si="0"/>
        <v>46351</v>
      </c>
      <c r="E27" s="12">
        <f t="shared" si="1"/>
        <v>46352</v>
      </c>
      <c r="F27" s="12">
        <f t="shared" si="2"/>
        <v>46353</v>
      </c>
      <c r="G27" s="13">
        <v>46344</v>
      </c>
      <c r="H27" s="13">
        <v>46351</v>
      </c>
      <c r="I27" s="13">
        <v>46352</v>
      </c>
      <c r="J27" s="13">
        <v>46353</v>
      </c>
    </row>
    <row r="28" spans="1:10" x14ac:dyDescent="0.3">
      <c r="A28" s="2">
        <v>49</v>
      </c>
      <c r="B28" s="2">
        <v>50</v>
      </c>
      <c r="C28" s="12">
        <f t="shared" si="3"/>
        <v>46358</v>
      </c>
      <c r="D28" s="12">
        <f t="shared" si="0"/>
        <v>46365</v>
      </c>
      <c r="E28" s="12">
        <f t="shared" si="1"/>
        <v>46366</v>
      </c>
      <c r="F28" s="12">
        <f t="shared" si="2"/>
        <v>46367</v>
      </c>
      <c r="G28" s="13">
        <v>46358</v>
      </c>
      <c r="H28" s="13">
        <v>46365</v>
      </c>
      <c r="I28" s="13">
        <v>46366</v>
      </c>
      <c r="J28" s="13">
        <v>46367</v>
      </c>
    </row>
    <row r="29" spans="1:10" x14ac:dyDescent="0.3">
      <c r="A29" s="2">
        <v>51</v>
      </c>
      <c r="B29" s="2">
        <v>52</v>
      </c>
      <c r="C29" s="12">
        <f t="shared" si="3"/>
        <v>46372</v>
      </c>
      <c r="D29" s="12">
        <f t="shared" si="0"/>
        <v>46379</v>
      </c>
      <c r="E29" s="12">
        <f t="shared" si="1"/>
        <v>46380</v>
      </c>
      <c r="F29" s="12">
        <f t="shared" si="2"/>
        <v>46381</v>
      </c>
      <c r="G29" s="13">
        <v>46372</v>
      </c>
      <c r="H29" s="13">
        <v>46378</v>
      </c>
      <c r="I29" s="13">
        <v>46379</v>
      </c>
      <c r="J29" s="13">
        <v>46380</v>
      </c>
    </row>
    <row r="30" spans="1:10" x14ac:dyDescent="0.3">
      <c r="A30" s="2">
        <v>53</v>
      </c>
      <c r="B30" s="2"/>
      <c r="C30" s="12">
        <f t="shared" si="3"/>
        <v>46386</v>
      </c>
      <c r="D30" s="12"/>
      <c r="E30" s="12"/>
      <c r="F30" s="12"/>
      <c r="G30" s="13">
        <v>46386</v>
      </c>
      <c r="H30" s="13"/>
      <c r="I30" s="13"/>
      <c r="J30" s="13"/>
    </row>
    <row r="31" spans="1:10" x14ac:dyDescent="0.3">
      <c r="G31" s="19"/>
    </row>
  </sheetData>
  <dataConsolidate/>
  <mergeCells count="6">
    <mergeCell ref="A2:A3"/>
    <mergeCell ref="B2:B3"/>
    <mergeCell ref="D2:F2"/>
    <mergeCell ref="H2:J2"/>
    <mergeCell ref="C1:F1"/>
    <mergeCell ref="G1:J1"/>
  </mergeCells>
  <conditionalFormatting sqref="G4">
    <cfRule type="expression" dxfId="10" priority="4">
      <formula>C4&lt;&gt;G4</formula>
    </cfRule>
  </conditionalFormatting>
  <conditionalFormatting sqref="G5:G30">
    <cfRule type="expression" dxfId="9" priority="3">
      <formula>C5&lt;&gt;G5</formula>
    </cfRule>
  </conditionalFormatting>
  <conditionalFormatting sqref="H4:H30">
    <cfRule type="expression" dxfId="8" priority="2">
      <formula>D4&lt;&gt;H4</formula>
    </cfRule>
  </conditionalFormatting>
  <conditionalFormatting sqref="I4:J30">
    <cfRule type="expression" dxfId="7" priority="1">
      <formula>E4&lt;&gt;I4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36B128-1CDF-4BB9-8A44-E798FD0CA8C6}">
          <x14:formula1>
            <xm:f>Config!B1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4EC5-7D3A-4343-9355-C4A6298F094D}">
  <sheetPr codeName="Tabelle3"/>
  <dimension ref="A1:H40"/>
  <sheetViews>
    <sheetView workbookViewId="0">
      <pane ySplit="3" topLeftCell="A17" activePane="bottomLeft" state="frozen"/>
      <selection pane="bottomLeft" activeCell="D41" sqref="D41"/>
    </sheetView>
  </sheetViews>
  <sheetFormatPr baseColWidth="10" defaultRowHeight="14.4" x14ac:dyDescent="0.3"/>
  <cols>
    <col min="3" max="3" width="12.5546875" style="1" customWidth="1"/>
    <col min="4" max="7" width="11.5546875" style="1"/>
  </cols>
  <sheetData>
    <row r="1" spans="1:8" x14ac:dyDescent="0.3">
      <c r="A1" s="20" t="s">
        <v>162</v>
      </c>
      <c r="B1" s="20">
        <f>Config!B1</f>
        <v>2026</v>
      </c>
      <c r="C1" s="61"/>
      <c r="D1" s="61"/>
      <c r="E1" s="61"/>
      <c r="F1" s="61"/>
      <c r="G1" s="61"/>
    </row>
    <row r="2" spans="1:8" x14ac:dyDescent="0.3">
      <c r="A2" s="55" t="s">
        <v>167</v>
      </c>
      <c r="B2" s="60" t="s">
        <v>170</v>
      </c>
      <c r="C2" s="60"/>
      <c r="D2" s="60"/>
      <c r="E2" s="59" t="s">
        <v>171</v>
      </c>
      <c r="F2" s="59"/>
      <c r="G2" s="59"/>
    </row>
    <row r="3" spans="1:8" x14ac:dyDescent="0.3">
      <c r="A3" s="55"/>
      <c r="B3" s="17" t="s">
        <v>178</v>
      </c>
      <c r="C3" s="21" t="s">
        <v>187</v>
      </c>
      <c r="D3" s="21" t="s">
        <v>188</v>
      </c>
      <c r="E3" s="22" t="s">
        <v>182</v>
      </c>
      <c r="F3" s="22" t="s">
        <v>189</v>
      </c>
      <c r="G3" s="22" t="s">
        <v>190</v>
      </c>
    </row>
    <row r="4" spans="1:8" x14ac:dyDescent="0.3">
      <c r="A4" s="2">
        <v>1</v>
      </c>
      <c r="B4" s="12">
        <f>DATE($B$1,1,7*$A4-1-WEEKDAY(DATE($B$1,,),3))</f>
        <v>46022</v>
      </c>
      <c r="C4" s="12">
        <f>DATE($B$1,1,7*$A4+0-WEEKDAY(DATE($B$1,,),3))</f>
        <v>46023</v>
      </c>
      <c r="D4" s="12">
        <f>DATE($B$1,1,7*$A4+1-WEEKDAY(DATE($B$1,,),3))</f>
        <v>46024</v>
      </c>
      <c r="E4" s="13">
        <v>46022</v>
      </c>
      <c r="F4" s="13">
        <v>46024</v>
      </c>
      <c r="G4" s="13">
        <v>46025</v>
      </c>
      <c r="H4" s="10"/>
    </row>
    <row r="5" spans="1:8" x14ac:dyDescent="0.3">
      <c r="A5" s="2">
        <v>3</v>
      </c>
      <c r="B5" s="12">
        <f>DATE($B$1,1,7*$A5-1-WEEKDAY(DATE($B$1,,),3))</f>
        <v>46036</v>
      </c>
      <c r="C5" s="12">
        <f t="shared" ref="C5:C40" si="0">DATE($B$1,1,7*$A5+0-WEEKDAY(DATE($B$1,,),3))</f>
        <v>46037</v>
      </c>
      <c r="D5" s="12">
        <f t="shared" ref="D5:D40" si="1">DATE($B$1,1,7*$A5+1-WEEKDAY(DATE($B$1,,),3))</f>
        <v>46038</v>
      </c>
      <c r="E5" s="13">
        <v>46036</v>
      </c>
      <c r="F5" s="13">
        <v>46037</v>
      </c>
      <c r="G5" s="13">
        <v>46038</v>
      </c>
      <c r="H5" s="10"/>
    </row>
    <row r="6" spans="1:8" x14ac:dyDescent="0.3">
      <c r="A6" s="2">
        <v>5</v>
      </c>
      <c r="B6" s="12">
        <f t="shared" ref="B6:B40" si="2">DATE($B$1,1,7*$A6-1-WEEKDAY(DATE($B$1,,),3))</f>
        <v>46050</v>
      </c>
      <c r="C6" s="12">
        <f t="shared" si="0"/>
        <v>46051</v>
      </c>
      <c r="D6" s="12">
        <f t="shared" si="1"/>
        <v>46052</v>
      </c>
      <c r="E6" s="13">
        <v>46050</v>
      </c>
      <c r="F6" s="13">
        <v>46051</v>
      </c>
      <c r="G6" s="13">
        <v>46052</v>
      </c>
      <c r="H6" s="10"/>
    </row>
    <row r="7" spans="1:8" x14ac:dyDescent="0.3">
      <c r="A7" s="2">
        <v>7</v>
      </c>
      <c r="B7" s="12">
        <f t="shared" si="2"/>
        <v>46064</v>
      </c>
      <c r="C7" s="12">
        <f t="shared" si="0"/>
        <v>46065</v>
      </c>
      <c r="D7" s="12">
        <f t="shared" si="1"/>
        <v>46066</v>
      </c>
      <c r="E7" s="13">
        <v>46064</v>
      </c>
      <c r="F7" s="13">
        <v>46065</v>
      </c>
      <c r="G7" s="13">
        <v>46066</v>
      </c>
      <c r="H7" s="10"/>
    </row>
    <row r="8" spans="1:8" x14ac:dyDescent="0.3">
      <c r="A8" s="2">
        <v>9</v>
      </c>
      <c r="B8" s="12">
        <f t="shared" si="2"/>
        <v>46078</v>
      </c>
      <c r="C8" s="12">
        <f t="shared" si="0"/>
        <v>46079</v>
      </c>
      <c r="D8" s="12">
        <f t="shared" si="1"/>
        <v>46080</v>
      </c>
      <c r="E8" s="13">
        <v>46078</v>
      </c>
      <c r="F8" s="13">
        <v>46079</v>
      </c>
      <c r="G8" s="13">
        <v>46080</v>
      </c>
      <c r="H8" s="10"/>
    </row>
    <row r="9" spans="1:8" x14ac:dyDescent="0.3">
      <c r="A9" s="2">
        <v>11</v>
      </c>
      <c r="B9" s="12">
        <f t="shared" si="2"/>
        <v>46092</v>
      </c>
      <c r="C9" s="12">
        <f t="shared" si="0"/>
        <v>46093</v>
      </c>
      <c r="D9" s="12">
        <f t="shared" si="1"/>
        <v>46094</v>
      </c>
      <c r="E9" s="13">
        <v>46092</v>
      </c>
      <c r="F9" s="13">
        <v>46093</v>
      </c>
      <c r="G9" s="13">
        <v>46094</v>
      </c>
      <c r="H9" s="10"/>
    </row>
    <row r="10" spans="1:8" x14ac:dyDescent="0.3">
      <c r="A10" s="2">
        <v>13</v>
      </c>
      <c r="B10" s="12">
        <f t="shared" si="2"/>
        <v>46106</v>
      </c>
      <c r="C10" s="12">
        <f t="shared" si="0"/>
        <v>46107</v>
      </c>
      <c r="D10" s="12">
        <f t="shared" si="1"/>
        <v>46108</v>
      </c>
      <c r="E10" s="13">
        <v>46106</v>
      </c>
      <c r="F10" s="13">
        <v>46107</v>
      </c>
      <c r="G10" s="13">
        <v>46108</v>
      </c>
      <c r="H10" s="10"/>
    </row>
    <row r="11" spans="1:8" x14ac:dyDescent="0.3">
      <c r="A11" s="2">
        <v>15</v>
      </c>
      <c r="B11" s="12">
        <f t="shared" si="2"/>
        <v>46120</v>
      </c>
      <c r="C11" s="12">
        <f t="shared" si="0"/>
        <v>46121</v>
      </c>
      <c r="D11" s="12">
        <f t="shared" si="1"/>
        <v>46122</v>
      </c>
      <c r="E11" s="13">
        <v>46121</v>
      </c>
      <c r="F11" s="13">
        <v>46122</v>
      </c>
      <c r="G11" s="13">
        <v>46123</v>
      </c>
      <c r="H11" s="10"/>
    </row>
    <row r="12" spans="1:8" x14ac:dyDescent="0.3">
      <c r="A12" s="2">
        <v>17</v>
      </c>
      <c r="B12" s="12">
        <f t="shared" si="2"/>
        <v>46134</v>
      </c>
      <c r="C12" s="12">
        <f t="shared" si="0"/>
        <v>46135</v>
      </c>
      <c r="D12" s="12">
        <f t="shared" si="1"/>
        <v>46136</v>
      </c>
      <c r="E12" s="13">
        <v>46134</v>
      </c>
      <c r="F12" s="13">
        <v>46135</v>
      </c>
      <c r="G12" s="13">
        <v>46136</v>
      </c>
      <c r="H12" s="10"/>
    </row>
    <row r="13" spans="1:8" x14ac:dyDescent="0.3">
      <c r="A13" s="2">
        <v>19</v>
      </c>
      <c r="B13" s="12">
        <f t="shared" si="2"/>
        <v>46148</v>
      </c>
      <c r="C13" s="12">
        <f t="shared" si="0"/>
        <v>46149</v>
      </c>
      <c r="D13" s="12">
        <f t="shared" si="1"/>
        <v>46150</v>
      </c>
      <c r="E13" s="13">
        <v>46148</v>
      </c>
      <c r="F13" s="13">
        <v>46149</v>
      </c>
      <c r="G13" s="13">
        <v>46150</v>
      </c>
      <c r="H13" s="10"/>
    </row>
    <row r="14" spans="1:8" x14ac:dyDescent="0.3">
      <c r="A14" s="11">
        <v>20</v>
      </c>
      <c r="B14" s="12">
        <f t="shared" si="2"/>
        <v>46155</v>
      </c>
      <c r="C14" s="12">
        <f t="shared" si="0"/>
        <v>46156</v>
      </c>
      <c r="D14" s="12">
        <f t="shared" si="1"/>
        <v>46157</v>
      </c>
      <c r="E14" s="13">
        <v>46155</v>
      </c>
      <c r="F14" s="13">
        <v>46157</v>
      </c>
      <c r="G14" s="13">
        <v>46158</v>
      </c>
      <c r="H14" s="10"/>
    </row>
    <row r="15" spans="1:8" x14ac:dyDescent="0.3">
      <c r="A15" s="11">
        <v>21</v>
      </c>
      <c r="B15" s="12">
        <f t="shared" si="2"/>
        <v>46162</v>
      </c>
      <c r="C15" s="12">
        <f t="shared" si="0"/>
        <v>46163</v>
      </c>
      <c r="D15" s="12">
        <f t="shared" si="1"/>
        <v>46164</v>
      </c>
      <c r="E15" s="13">
        <v>46162</v>
      </c>
      <c r="F15" s="13">
        <v>46163</v>
      </c>
      <c r="G15" s="13">
        <v>46164</v>
      </c>
      <c r="H15" s="10"/>
    </row>
    <row r="16" spans="1:8" x14ac:dyDescent="0.3">
      <c r="A16" s="11">
        <v>22</v>
      </c>
      <c r="B16" s="12">
        <f t="shared" si="2"/>
        <v>46169</v>
      </c>
      <c r="C16" s="12">
        <f t="shared" si="0"/>
        <v>46170</v>
      </c>
      <c r="D16" s="12">
        <f t="shared" si="1"/>
        <v>46171</v>
      </c>
      <c r="E16" s="13">
        <v>46170</v>
      </c>
      <c r="F16" s="13">
        <v>46171</v>
      </c>
      <c r="G16" s="13">
        <v>46172</v>
      </c>
      <c r="H16" s="10"/>
    </row>
    <row r="17" spans="1:8" x14ac:dyDescent="0.3">
      <c r="A17" s="11">
        <v>23</v>
      </c>
      <c r="B17" s="12">
        <f t="shared" si="2"/>
        <v>46176</v>
      </c>
      <c r="C17" s="12">
        <f t="shared" si="0"/>
        <v>46177</v>
      </c>
      <c r="D17" s="12">
        <f t="shared" si="1"/>
        <v>46178</v>
      </c>
      <c r="E17" s="13">
        <v>46176</v>
      </c>
      <c r="F17" s="13">
        <v>46178</v>
      </c>
      <c r="G17" s="13">
        <v>46179</v>
      </c>
      <c r="H17" s="10"/>
    </row>
    <row r="18" spans="1:8" x14ac:dyDescent="0.3">
      <c r="A18" s="11">
        <v>24</v>
      </c>
      <c r="B18" s="12">
        <f t="shared" si="2"/>
        <v>46183</v>
      </c>
      <c r="C18" s="12">
        <f t="shared" si="0"/>
        <v>46184</v>
      </c>
      <c r="D18" s="12">
        <f t="shared" si="1"/>
        <v>46185</v>
      </c>
      <c r="E18" s="13">
        <v>46183</v>
      </c>
      <c r="F18" s="13">
        <v>46184</v>
      </c>
      <c r="G18" s="13">
        <v>46185</v>
      </c>
      <c r="H18" s="10"/>
    </row>
    <row r="19" spans="1:8" x14ac:dyDescent="0.3">
      <c r="A19" s="11">
        <v>25</v>
      </c>
      <c r="B19" s="12">
        <f t="shared" si="2"/>
        <v>46190</v>
      </c>
      <c r="C19" s="12">
        <f t="shared" si="0"/>
        <v>46191</v>
      </c>
      <c r="D19" s="12">
        <f t="shared" si="1"/>
        <v>46192</v>
      </c>
      <c r="E19" s="13">
        <v>46190</v>
      </c>
      <c r="F19" s="13">
        <v>46191</v>
      </c>
      <c r="G19" s="13">
        <v>46192</v>
      </c>
      <c r="H19" s="10"/>
    </row>
    <row r="20" spans="1:8" x14ac:dyDescent="0.3">
      <c r="A20" s="11">
        <v>26</v>
      </c>
      <c r="B20" s="12">
        <f t="shared" si="2"/>
        <v>46197</v>
      </c>
      <c r="C20" s="12">
        <f t="shared" si="0"/>
        <v>46198</v>
      </c>
      <c r="D20" s="12">
        <f t="shared" si="1"/>
        <v>46199</v>
      </c>
      <c r="E20" s="13">
        <v>46197</v>
      </c>
      <c r="F20" s="13">
        <v>46198</v>
      </c>
      <c r="G20" s="13">
        <v>46199</v>
      </c>
      <c r="H20" s="10"/>
    </row>
    <row r="21" spans="1:8" x14ac:dyDescent="0.3">
      <c r="A21" s="11">
        <v>27</v>
      </c>
      <c r="B21" s="12">
        <f t="shared" si="2"/>
        <v>46204</v>
      </c>
      <c r="C21" s="12">
        <f t="shared" si="0"/>
        <v>46205</v>
      </c>
      <c r="D21" s="12">
        <f t="shared" si="1"/>
        <v>46206</v>
      </c>
      <c r="E21" s="13">
        <v>46204</v>
      </c>
      <c r="F21" s="13">
        <v>46205</v>
      </c>
      <c r="G21" s="13">
        <v>46206</v>
      </c>
      <c r="H21" s="10"/>
    </row>
    <row r="22" spans="1:8" x14ac:dyDescent="0.3">
      <c r="A22" s="11">
        <v>28</v>
      </c>
      <c r="B22" s="12">
        <f t="shared" si="2"/>
        <v>46211</v>
      </c>
      <c r="C22" s="12">
        <f t="shared" si="0"/>
        <v>46212</v>
      </c>
      <c r="D22" s="12">
        <f t="shared" si="1"/>
        <v>46213</v>
      </c>
      <c r="E22" s="13">
        <v>46211</v>
      </c>
      <c r="F22" s="13">
        <v>46212</v>
      </c>
      <c r="G22" s="13">
        <v>46213</v>
      </c>
      <c r="H22" s="10"/>
    </row>
    <row r="23" spans="1:8" x14ac:dyDescent="0.3">
      <c r="A23" s="11">
        <v>29</v>
      </c>
      <c r="B23" s="12">
        <f t="shared" si="2"/>
        <v>46218</v>
      </c>
      <c r="C23" s="12">
        <f t="shared" si="0"/>
        <v>46219</v>
      </c>
      <c r="D23" s="12">
        <f t="shared" si="1"/>
        <v>46220</v>
      </c>
      <c r="E23" s="13">
        <v>46218</v>
      </c>
      <c r="F23" s="13">
        <v>46219</v>
      </c>
      <c r="G23" s="13">
        <v>46220</v>
      </c>
      <c r="H23" s="10"/>
    </row>
    <row r="24" spans="1:8" x14ac:dyDescent="0.3">
      <c r="A24" s="11">
        <v>30</v>
      </c>
      <c r="B24" s="12">
        <f t="shared" si="2"/>
        <v>46225</v>
      </c>
      <c r="C24" s="12">
        <f t="shared" si="0"/>
        <v>46226</v>
      </c>
      <c r="D24" s="12">
        <f t="shared" si="1"/>
        <v>46227</v>
      </c>
      <c r="E24" s="13">
        <v>46225</v>
      </c>
      <c r="F24" s="13">
        <v>46226</v>
      </c>
      <c r="G24" s="13">
        <v>46227</v>
      </c>
      <c r="H24" s="10"/>
    </row>
    <row r="25" spans="1:8" x14ac:dyDescent="0.3">
      <c r="A25" s="11">
        <v>31</v>
      </c>
      <c r="B25" s="12">
        <f t="shared" si="2"/>
        <v>46232</v>
      </c>
      <c r="C25" s="12">
        <f t="shared" si="0"/>
        <v>46233</v>
      </c>
      <c r="D25" s="12">
        <f t="shared" si="1"/>
        <v>46234</v>
      </c>
      <c r="E25" s="13">
        <v>46232</v>
      </c>
      <c r="F25" s="13">
        <v>46233</v>
      </c>
      <c r="G25" s="13">
        <v>46234</v>
      </c>
      <c r="H25" s="10"/>
    </row>
    <row r="26" spans="1:8" x14ac:dyDescent="0.3">
      <c r="A26" s="11">
        <v>32</v>
      </c>
      <c r="B26" s="12">
        <f t="shared" si="2"/>
        <v>46239</v>
      </c>
      <c r="C26" s="12">
        <f t="shared" si="0"/>
        <v>46240</v>
      </c>
      <c r="D26" s="12">
        <f t="shared" si="1"/>
        <v>46241</v>
      </c>
      <c r="E26" s="13">
        <v>46239</v>
      </c>
      <c r="F26" s="13">
        <v>46240</v>
      </c>
      <c r="G26" s="13">
        <v>46241</v>
      </c>
      <c r="H26" s="10"/>
    </row>
    <row r="27" spans="1:8" x14ac:dyDescent="0.3">
      <c r="A27" s="11">
        <v>33</v>
      </c>
      <c r="B27" s="12">
        <f t="shared" si="2"/>
        <v>46246</v>
      </c>
      <c r="C27" s="12">
        <f t="shared" si="0"/>
        <v>46247</v>
      </c>
      <c r="D27" s="12">
        <f t="shared" si="1"/>
        <v>46248</v>
      </c>
      <c r="E27" s="13">
        <v>46246</v>
      </c>
      <c r="F27" s="13">
        <v>46247</v>
      </c>
      <c r="G27" s="13">
        <v>46248</v>
      </c>
      <c r="H27" s="10"/>
    </row>
    <row r="28" spans="1:8" x14ac:dyDescent="0.3">
      <c r="A28" s="11">
        <v>34</v>
      </c>
      <c r="B28" s="12">
        <f t="shared" si="2"/>
        <v>46253</v>
      </c>
      <c r="C28" s="12">
        <f t="shared" si="0"/>
        <v>46254</v>
      </c>
      <c r="D28" s="12">
        <f t="shared" si="1"/>
        <v>46255</v>
      </c>
      <c r="E28" s="13">
        <v>46253</v>
      </c>
      <c r="F28" s="13">
        <v>46254</v>
      </c>
      <c r="G28" s="13">
        <v>46255</v>
      </c>
      <c r="H28" s="10"/>
    </row>
    <row r="29" spans="1:8" x14ac:dyDescent="0.3">
      <c r="A29" s="11">
        <v>35</v>
      </c>
      <c r="B29" s="12">
        <f t="shared" si="2"/>
        <v>46260</v>
      </c>
      <c r="C29" s="12">
        <f t="shared" si="0"/>
        <v>46261</v>
      </c>
      <c r="D29" s="12">
        <f t="shared" si="1"/>
        <v>46262</v>
      </c>
      <c r="E29" s="13">
        <v>46260</v>
      </c>
      <c r="F29" s="13">
        <v>46261</v>
      </c>
      <c r="G29" s="13">
        <v>46262</v>
      </c>
      <c r="H29" s="10"/>
    </row>
    <row r="30" spans="1:8" x14ac:dyDescent="0.3">
      <c r="A30" s="11">
        <v>36</v>
      </c>
      <c r="B30" s="12">
        <f t="shared" si="2"/>
        <v>46267</v>
      </c>
      <c r="C30" s="12">
        <f t="shared" si="0"/>
        <v>46268</v>
      </c>
      <c r="D30" s="12">
        <f t="shared" si="1"/>
        <v>46269</v>
      </c>
      <c r="E30" s="13">
        <v>46267</v>
      </c>
      <c r="F30" s="13">
        <v>46268</v>
      </c>
      <c r="G30" s="13">
        <v>46269</v>
      </c>
      <c r="H30" s="10"/>
    </row>
    <row r="31" spans="1:8" x14ac:dyDescent="0.3">
      <c r="A31" s="11">
        <v>37</v>
      </c>
      <c r="B31" s="12">
        <f t="shared" si="2"/>
        <v>46274</v>
      </c>
      <c r="C31" s="12">
        <f t="shared" si="0"/>
        <v>46275</v>
      </c>
      <c r="D31" s="12">
        <f t="shared" si="1"/>
        <v>46276</v>
      </c>
      <c r="E31" s="13">
        <v>46274</v>
      </c>
      <c r="F31" s="13">
        <v>46275</v>
      </c>
      <c r="G31" s="13">
        <v>46276</v>
      </c>
      <c r="H31" s="10"/>
    </row>
    <row r="32" spans="1:8" x14ac:dyDescent="0.3">
      <c r="A32" s="11">
        <v>38</v>
      </c>
      <c r="B32" s="12">
        <f t="shared" si="2"/>
        <v>46281</v>
      </c>
      <c r="C32" s="12">
        <f t="shared" si="0"/>
        <v>46282</v>
      </c>
      <c r="D32" s="12">
        <f t="shared" si="1"/>
        <v>46283</v>
      </c>
      <c r="E32" s="13">
        <v>46281</v>
      </c>
      <c r="F32" s="13">
        <v>46282</v>
      </c>
      <c r="G32" s="13">
        <v>46283</v>
      </c>
      <c r="H32" s="10"/>
    </row>
    <row r="33" spans="1:8" x14ac:dyDescent="0.3">
      <c r="A33" s="11">
        <v>39</v>
      </c>
      <c r="B33" s="12">
        <f t="shared" si="2"/>
        <v>46288</v>
      </c>
      <c r="C33" s="12">
        <f t="shared" si="0"/>
        <v>46289</v>
      </c>
      <c r="D33" s="12">
        <f t="shared" si="1"/>
        <v>46290</v>
      </c>
      <c r="E33" s="13">
        <v>46288</v>
      </c>
      <c r="F33" s="13">
        <v>46289</v>
      </c>
      <c r="G33" s="13">
        <v>46290</v>
      </c>
      <c r="H33" s="10"/>
    </row>
    <row r="34" spans="1:8" x14ac:dyDescent="0.3">
      <c r="A34" s="11">
        <v>40</v>
      </c>
      <c r="B34" s="12">
        <f t="shared" si="2"/>
        <v>46295</v>
      </c>
      <c r="C34" s="12">
        <f t="shared" si="0"/>
        <v>46296</v>
      </c>
      <c r="D34" s="12">
        <f t="shared" si="1"/>
        <v>46297</v>
      </c>
      <c r="E34" s="13">
        <v>46295</v>
      </c>
      <c r="F34" s="13">
        <v>46296</v>
      </c>
      <c r="G34" s="13">
        <v>46297</v>
      </c>
      <c r="H34" s="10"/>
    </row>
    <row r="35" spans="1:8" x14ac:dyDescent="0.3">
      <c r="A35" s="11">
        <v>41</v>
      </c>
      <c r="B35" s="12">
        <f t="shared" si="2"/>
        <v>46302</v>
      </c>
      <c r="C35" s="12">
        <f t="shared" si="0"/>
        <v>46303</v>
      </c>
      <c r="D35" s="12">
        <f t="shared" si="1"/>
        <v>46304</v>
      </c>
      <c r="E35" s="13">
        <v>46302</v>
      </c>
      <c r="F35" s="13">
        <v>46303</v>
      </c>
      <c r="G35" s="13">
        <v>46304</v>
      </c>
      <c r="H35" s="10"/>
    </row>
    <row r="36" spans="1:8" x14ac:dyDescent="0.3">
      <c r="A36" s="2">
        <v>43</v>
      </c>
      <c r="B36" s="12">
        <f t="shared" si="2"/>
        <v>46316</v>
      </c>
      <c r="C36" s="12">
        <f t="shared" si="0"/>
        <v>46317</v>
      </c>
      <c r="D36" s="12">
        <f t="shared" si="1"/>
        <v>46318</v>
      </c>
      <c r="E36" s="13">
        <v>46316</v>
      </c>
      <c r="F36" s="13">
        <v>46317</v>
      </c>
      <c r="G36" s="13">
        <v>46318</v>
      </c>
      <c r="H36" s="10"/>
    </row>
    <row r="37" spans="1:8" x14ac:dyDescent="0.3">
      <c r="A37" s="2">
        <v>45</v>
      </c>
      <c r="B37" s="12">
        <f t="shared" si="2"/>
        <v>46330</v>
      </c>
      <c r="C37" s="12">
        <f t="shared" si="0"/>
        <v>46331</v>
      </c>
      <c r="D37" s="12">
        <f t="shared" si="1"/>
        <v>46332</v>
      </c>
      <c r="E37" s="13">
        <v>46330</v>
      </c>
      <c r="F37" s="13">
        <v>46331</v>
      </c>
      <c r="G37" s="13">
        <v>46332</v>
      </c>
      <c r="H37" s="10"/>
    </row>
    <row r="38" spans="1:8" x14ac:dyDescent="0.3">
      <c r="A38" s="2">
        <v>47</v>
      </c>
      <c r="B38" s="12">
        <f t="shared" si="2"/>
        <v>46344</v>
      </c>
      <c r="C38" s="12">
        <f t="shared" si="0"/>
        <v>46345</v>
      </c>
      <c r="D38" s="12">
        <f t="shared" si="1"/>
        <v>46346</v>
      </c>
      <c r="E38" s="13">
        <v>46344</v>
      </c>
      <c r="F38" s="13">
        <v>46345</v>
      </c>
      <c r="G38" s="13">
        <v>46346</v>
      </c>
      <c r="H38" s="10"/>
    </row>
    <row r="39" spans="1:8" x14ac:dyDescent="0.3">
      <c r="A39" s="2">
        <v>49</v>
      </c>
      <c r="B39" s="12">
        <f t="shared" si="2"/>
        <v>46358</v>
      </c>
      <c r="C39" s="12">
        <f t="shared" si="0"/>
        <v>46359</v>
      </c>
      <c r="D39" s="12">
        <f t="shared" si="1"/>
        <v>46360</v>
      </c>
      <c r="E39" s="13">
        <v>46358</v>
      </c>
      <c r="F39" s="13">
        <v>46359</v>
      </c>
      <c r="G39" s="13">
        <v>46360</v>
      </c>
      <c r="H39" s="10"/>
    </row>
    <row r="40" spans="1:8" x14ac:dyDescent="0.3">
      <c r="A40" s="2">
        <v>51</v>
      </c>
      <c r="B40" s="12">
        <f t="shared" si="2"/>
        <v>46372</v>
      </c>
      <c r="C40" s="12">
        <f t="shared" si="0"/>
        <v>46373</v>
      </c>
      <c r="D40" s="12">
        <f t="shared" si="1"/>
        <v>46374</v>
      </c>
      <c r="E40" s="13">
        <v>46372</v>
      </c>
      <c r="F40" s="13">
        <v>46373</v>
      </c>
      <c r="G40" s="13">
        <v>46374</v>
      </c>
    </row>
  </sheetData>
  <mergeCells count="4">
    <mergeCell ref="A2:A3"/>
    <mergeCell ref="B2:D2"/>
    <mergeCell ref="E2:G2"/>
    <mergeCell ref="C1:G1"/>
  </mergeCells>
  <conditionalFormatting sqref="E4 E36:G40">
    <cfRule type="expression" dxfId="6" priority="7">
      <formula>B4&lt;&gt;E4</formula>
    </cfRule>
  </conditionalFormatting>
  <conditionalFormatting sqref="E5:E34">
    <cfRule type="expression" dxfId="5" priority="6">
      <formula>B5&lt;&gt;E5</formula>
    </cfRule>
  </conditionalFormatting>
  <conditionalFormatting sqref="F4:F34">
    <cfRule type="expression" dxfId="4" priority="5">
      <formula>C4&lt;&gt;F4</formula>
    </cfRule>
  </conditionalFormatting>
  <conditionalFormatting sqref="G4:G34">
    <cfRule type="expression" dxfId="3" priority="4">
      <formula>D4&lt;&gt;G4</formula>
    </cfRule>
  </conditionalFormatting>
  <conditionalFormatting sqref="E35">
    <cfRule type="expression" dxfId="2" priority="3">
      <formula>B35&lt;&gt;E35</formula>
    </cfRule>
  </conditionalFormatting>
  <conditionalFormatting sqref="F35">
    <cfRule type="expression" dxfId="1" priority="2">
      <formula>C35&lt;&gt;F35</formula>
    </cfRule>
  </conditionalFormatting>
  <conditionalFormatting sqref="G35">
    <cfRule type="expression" dxfId="0" priority="1">
      <formula>D35&lt;&gt;G35</formula>
    </cfRule>
  </conditionalFormatting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40DE2D-42E6-439B-BB7F-E2D9D3CBB5CA}">
          <x14:formula1>
            <xm:f>Config!$B$1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18F-8F71-45A8-BD05-4D2F4F2D60CF}">
  <sheetPr codeName="Tabelle4"/>
  <dimension ref="A1:D17"/>
  <sheetViews>
    <sheetView workbookViewId="0">
      <selection activeCell="D15" sqref="D15"/>
    </sheetView>
  </sheetViews>
  <sheetFormatPr baseColWidth="10" defaultRowHeight="14.4" x14ac:dyDescent="0.3"/>
  <cols>
    <col min="1" max="4" width="11.5546875" style="1"/>
  </cols>
  <sheetData>
    <row r="1" spans="1:4" x14ac:dyDescent="0.3">
      <c r="A1" s="23" t="s">
        <v>191</v>
      </c>
      <c r="B1" s="23" t="s">
        <v>192</v>
      </c>
      <c r="C1" s="23" t="s">
        <v>165</v>
      </c>
      <c r="D1" s="23" t="s">
        <v>166</v>
      </c>
    </row>
    <row r="2" spans="1:4" x14ac:dyDescent="0.3">
      <c r="A2" s="12">
        <v>46024</v>
      </c>
      <c r="B2" s="12">
        <v>46031</v>
      </c>
      <c r="C2" s="12">
        <v>46037</v>
      </c>
      <c r="D2" s="12">
        <v>46044</v>
      </c>
    </row>
    <row r="3" spans="1:4" x14ac:dyDescent="0.3">
      <c r="A3" s="12">
        <v>46051</v>
      </c>
      <c r="B3" s="12">
        <v>46058</v>
      </c>
      <c r="C3" s="12">
        <v>46065</v>
      </c>
      <c r="D3" s="12">
        <v>46072</v>
      </c>
    </row>
    <row r="4" spans="1:4" x14ac:dyDescent="0.3">
      <c r="A4" s="12">
        <v>46079</v>
      </c>
      <c r="B4" s="12">
        <v>46086</v>
      </c>
      <c r="C4" s="12">
        <v>46093</v>
      </c>
      <c r="D4" s="12">
        <v>46100</v>
      </c>
    </row>
    <row r="5" spans="1:4" x14ac:dyDescent="0.3">
      <c r="A5" s="12">
        <v>46107</v>
      </c>
      <c r="B5" s="12">
        <v>46114</v>
      </c>
      <c r="C5" s="12">
        <v>46122</v>
      </c>
      <c r="D5" s="12">
        <v>46128</v>
      </c>
    </row>
    <row r="6" spans="1:4" x14ac:dyDescent="0.3">
      <c r="A6" s="12">
        <v>46135</v>
      </c>
      <c r="B6" s="12">
        <v>46142</v>
      </c>
      <c r="C6" s="12">
        <v>46149</v>
      </c>
      <c r="D6" s="12">
        <v>46157</v>
      </c>
    </row>
    <row r="7" spans="1:4" x14ac:dyDescent="0.3">
      <c r="A7" s="12">
        <v>46163</v>
      </c>
      <c r="B7" s="12">
        <v>46171</v>
      </c>
      <c r="C7" s="12">
        <v>46178</v>
      </c>
      <c r="D7" s="12">
        <v>46184</v>
      </c>
    </row>
    <row r="8" spans="1:4" x14ac:dyDescent="0.3">
      <c r="A8" s="12">
        <v>46191</v>
      </c>
      <c r="B8" s="12">
        <v>46198</v>
      </c>
      <c r="C8" s="12">
        <v>46205</v>
      </c>
      <c r="D8" s="12">
        <v>46212</v>
      </c>
    </row>
    <row r="9" spans="1:4" x14ac:dyDescent="0.3">
      <c r="A9" s="12">
        <v>46219</v>
      </c>
      <c r="B9" s="12">
        <v>46226</v>
      </c>
      <c r="C9" s="12">
        <v>46233</v>
      </c>
      <c r="D9" s="12">
        <v>46240</v>
      </c>
    </row>
    <row r="10" spans="1:4" x14ac:dyDescent="0.3">
      <c r="A10" s="12">
        <v>46247</v>
      </c>
      <c r="B10" s="12">
        <v>46254</v>
      </c>
      <c r="C10" s="12">
        <v>46261</v>
      </c>
      <c r="D10" s="12">
        <v>46268</v>
      </c>
    </row>
    <row r="11" spans="1:4" x14ac:dyDescent="0.3">
      <c r="A11" s="12">
        <v>46275</v>
      </c>
      <c r="B11" s="12">
        <v>46282</v>
      </c>
      <c r="C11" s="12">
        <v>46289</v>
      </c>
      <c r="D11" s="12">
        <v>46296</v>
      </c>
    </row>
    <row r="12" spans="1:4" x14ac:dyDescent="0.3">
      <c r="A12" s="12">
        <v>46303</v>
      </c>
      <c r="B12" s="12">
        <v>46310</v>
      </c>
      <c r="C12" s="12">
        <v>46317</v>
      </c>
      <c r="D12" s="12">
        <v>46324</v>
      </c>
    </row>
    <row r="13" spans="1:4" x14ac:dyDescent="0.3">
      <c r="A13" s="12">
        <v>46331</v>
      </c>
      <c r="B13" s="12">
        <v>46338</v>
      </c>
      <c r="C13" s="12">
        <v>46345</v>
      </c>
      <c r="D13" s="12">
        <v>46352</v>
      </c>
    </row>
    <row r="14" spans="1:4" x14ac:dyDescent="0.3">
      <c r="A14" s="12">
        <v>46359</v>
      </c>
      <c r="B14" s="12">
        <v>46366</v>
      </c>
      <c r="C14" s="12">
        <v>46373</v>
      </c>
      <c r="D14" s="12">
        <v>46378</v>
      </c>
    </row>
    <row r="15" spans="1:4" x14ac:dyDescent="0.3">
      <c r="A15" s="12">
        <v>46387</v>
      </c>
      <c r="B15" s="12"/>
      <c r="C15" s="12"/>
      <c r="D15" s="12"/>
    </row>
    <row r="16" spans="1:4" x14ac:dyDescent="0.3">
      <c r="A16" s="63"/>
    </row>
    <row r="17" spans="1:1" x14ac:dyDescent="0.3">
      <c r="A17" s="64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8138-4D05-47A4-8CCC-8C4CC080BE0A}">
  <sheetPr codeName="Tabelle8"/>
  <dimension ref="A1:B3"/>
  <sheetViews>
    <sheetView workbookViewId="0">
      <selection activeCell="B4" sqref="B4"/>
    </sheetView>
  </sheetViews>
  <sheetFormatPr baseColWidth="10" defaultRowHeight="14.4" x14ac:dyDescent="0.3"/>
  <sheetData>
    <row r="1" spans="1:2" x14ac:dyDescent="0.3">
      <c r="A1" s="62" t="s">
        <v>199</v>
      </c>
      <c r="B1" s="62"/>
    </row>
    <row r="2" spans="1:2" x14ac:dyDescent="0.3">
      <c r="A2" s="39" t="s">
        <v>197</v>
      </c>
      <c r="B2" s="25">
        <v>46104</v>
      </c>
    </row>
    <row r="3" spans="1:2" x14ac:dyDescent="0.3">
      <c r="A3" s="39" t="s">
        <v>198</v>
      </c>
      <c r="B3" s="25">
        <v>46328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4B15-3C6B-4559-BE79-FBB00491C1E8}">
  <sheetPr codeName="Tabelle5"/>
  <dimension ref="A1:B43"/>
  <sheetViews>
    <sheetView workbookViewId="0">
      <pane ySplit="1" topLeftCell="A6" activePane="bottomLeft" state="frozen"/>
      <selection pane="bottomLeft" activeCell="B32" sqref="B32"/>
    </sheetView>
  </sheetViews>
  <sheetFormatPr baseColWidth="10" defaultRowHeight="14.4" x14ac:dyDescent="0.3"/>
  <cols>
    <col min="1" max="2" width="11.5546875" style="1"/>
  </cols>
  <sheetData>
    <row r="1" spans="1:2" x14ac:dyDescent="0.3">
      <c r="A1" s="26" t="s">
        <v>168</v>
      </c>
      <c r="B1" s="27" t="s">
        <v>169</v>
      </c>
    </row>
    <row r="2" spans="1:2" x14ac:dyDescent="0.3">
      <c r="A2" s="24">
        <v>46023</v>
      </c>
      <c r="B2" s="25">
        <v>46024</v>
      </c>
    </row>
    <row r="3" spans="1:2" x14ac:dyDescent="0.3">
      <c r="A3" s="24">
        <v>46024</v>
      </c>
      <c r="B3" s="25">
        <v>46025</v>
      </c>
    </row>
    <row r="4" spans="1:2" x14ac:dyDescent="0.3">
      <c r="A4" s="24">
        <v>46028</v>
      </c>
      <c r="B4" s="25">
        <v>46029</v>
      </c>
    </row>
    <row r="5" spans="1:2" x14ac:dyDescent="0.3">
      <c r="A5" s="24">
        <v>46029</v>
      </c>
      <c r="B5" s="25">
        <v>46030</v>
      </c>
    </row>
    <row r="6" spans="1:2" x14ac:dyDescent="0.3">
      <c r="A6" s="24">
        <v>46030</v>
      </c>
      <c r="B6" s="25">
        <v>46031</v>
      </c>
    </row>
    <row r="7" spans="1:2" x14ac:dyDescent="0.3">
      <c r="A7" s="24">
        <v>46031</v>
      </c>
      <c r="B7" s="25">
        <v>46032</v>
      </c>
    </row>
    <row r="8" spans="1:2" x14ac:dyDescent="0.3">
      <c r="A8" s="24">
        <v>46111</v>
      </c>
      <c r="B8" s="25">
        <v>46109</v>
      </c>
    </row>
    <row r="9" spans="1:2" x14ac:dyDescent="0.3">
      <c r="A9" s="24">
        <v>46112</v>
      </c>
      <c r="B9" s="25">
        <v>46111</v>
      </c>
    </row>
    <row r="10" spans="1:2" x14ac:dyDescent="0.3">
      <c r="A10" s="24">
        <v>46113</v>
      </c>
      <c r="B10" s="25">
        <v>46112</v>
      </c>
    </row>
    <row r="11" spans="1:2" x14ac:dyDescent="0.3">
      <c r="A11" s="24">
        <v>46114</v>
      </c>
      <c r="B11" s="25">
        <v>46113</v>
      </c>
    </row>
    <row r="12" spans="1:2" x14ac:dyDescent="0.3">
      <c r="A12" s="24">
        <v>46115</v>
      </c>
      <c r="B12" s="25">
        <v>46114</v>
      </c>
    </row>
    <row r="13" spans="1:2" x14ac:dyDescent="0.3">
      <c r="A13" s="24">
        <v>46118</v>
      </c>
      <c r="B13" s="25">
        <v>46119</v>
      </c>
    </row>
    <row r="14" spans="1:2" x14ac:dyDescent="0.3">
      <c r="A14" s="24">
        <v>46119</v>
      </c>
      <c r="B14" s="25">
        <v>46120</v>
      </c>
    </row>
    <row r="15" spans="1:2" x14ac:dyDescent="0.3">
      <c r="A15" s="24">
        <v>46120</v>
      </c>
      <c r="B15" s="25">
        <v>46121</v>
      </c>
    </row>
    <row r="16" spans="1:2" x14ac:dyDescent="0.3">
      <c r="A16" s="24">
        <v>46121</v>
      </c>
      <c r="B16" s="25">
        <v>46122</v>
      </c>
    </row>
    <row r="17" spans="1:2" x14ac:dyDescent="0.3">
      <c r="A17" s="24">
        <v>46122</v>
      </c>
      <c r="B17" s="25">
        <v>46123</v>
      </c>
    </row>
    <row r="18" spans="1:2" x14ac:dyDescent="0.3">
      <c r="A18" s="24">
        <v>46143</v>
      </c>
      <c r="B18" s="25">
        <v>46144</v>
      </c>
    </row>
    <row r="19" spans="1:2" x14ac:dyDescent="0.3">
      <c r="A19" s="24">
        <v>46156</v>
      </c>
      <c r="B19" s="25">
        <v>46157</v>
      </c>
    </row>
    <row r="20" spans="1:2" x14ac:dyDescent="0.3">
      <c r="A20" s="24">
        <v>46157</v>
      </c>
      <c r="B20" s="25">
        <v>46158</v>
      </c>
    </row>
    <row r="21" spans="1:2" x14ac:dyDescent="0.3">
      <c r="A21" s="24">
        <v>46167</v>
      </c>
      <c r="B21" s="25">
        <v>46168</v>
      </c>
    </row>
    <row r="22" spans="1:2" x14ac:dyDescent="0.3">
      <c r="A22" s="24">
        <v>46168</v>
      </c>
      <c r="B22" s="25">
        <v>46169</v>
      </c>
    </row>
    <row r="23" spans="1:2" x14ac:dyDescent="0.3">
      <c r="A23" s="24">
        <v>46169</v>
      </c>
      <c r="B23" s="25">
        <v>46170</v>
      </c>
    </row>
    <row r="24" spans="1:2" x14ac:dyDescent="0.3">
      <c r="A24" s="24">
        <v>46170</v>
      </c>
      <c r="B24" s="25">
        <v>46171</v>
      </c>
    </row>
    <row r="25" spans="1:2" x14ac:dyDescent="0.3">
      <c r="A25" s="24">
        <v>46171</v>
      </c>
      <c r="B25" s="25">
        <v>46172</v>
      </c>
    </row>
    <row r="26" spans="1:2" x14ac:dyDescent="0.3">
      <c r="A26" s="24">
        <v>46177</v>
      </c>
      <c r="B26" s="25">
        <v>46178</v>
      </c>
    </row>
    <row r="27" spans="1:2" x14ac:dyDescent="0.3">
      <c r="A27" s="24">
        <v>46178</v>
      </c>
      <c r="B27" s="25">
        <v>46179</v>
      </c>
    </row>
    <row r="28" spans="1:2" x14ac:dyDescent="0.3">
      <c r="A28" s="24">
        <v>46377</v>
      </c>
      <c r="B28" s="25">
        <v>46375</v>
      </c>
    </row>
    <row r="29" spans="1:2" x14ac:dyDescent="0.3">
      <c r="A29" s="24">
        <v>46378</v>
      </c>
      <c r="B29" s="25">
        <v>46377</v>
      </c>
    </row>
    <row r="30" spans="1:2" x14ac:dyDescent="0.3">
      <c r="A30" s="24">
        <v>46379</v>
      </c>
      <c r="B30" s="25">
        <v>46378</v>
      </c>
    </row>
    <row r="31" spans="1:2" x14ac:dyDescent="0.3">
      <c r="A31" s="24">
        <v>46380</v>
      </c>
      <c r="B31" s="25">
        <v>46379</v>
      </c>
    </row>
    <row r="32" spans="1:2" x14ac:dyDescent="0.3">
      <c r="A32" s="24">
        <v>46381</v>
      </c>
      <c r="B32" s="25">
        <v>46380</v>
      </c>
    </row>
    <row r="33" spans="1:2" x14ac:dyDescent="0.3">
      <c r="A33" s="24">
        <v>46388</v>
      </c>
      <c r="B33" s="25">
        <v>46389</v>
      </c>
    </row>
    <row r="34" spans="1:2" x14ac:dyDescent="0.3">
      <c r="A34" s="24"/>
      <c r="B34" s="25"/>
    </row>
    <row r="35" spans="1:2" x14ac:dyDescent="0.3">
      <c r="A35" s="24"/>
      <c r="B35" s="25"/>
    </row>
    <row r="36" spans="1:2" x14ac:dyDescent="0.3">
      <c r="A36" s="24"/>
      <c r="B36" s="25"/>
    </row>
    <row r="37" spans="1:2" x14ac:dyDescent="0.3">
      <c r="A37" s="24"/>
      <c r="B37" s="25"/>
    </row>
    <row r="38" spans="1:2" x14ac:dyDescent="0.3">
      <c r="A38" s="24"/>
      <c r="B38" s="25"/>
    </row>
    <row r="39" spans="1:2" x14ac:dyDescent="0.3">
      <c r="A39" s="24"/>
      <c r="B39" s="25"/>
    </row>
    <row r="40" spans="1:2" x14ac:dyDescent="0.3">
      <c r="A40" s="24"/>
      <c r="B40" s="25"/>
    </row>
    <row r="41" spans="1:2" x14ac:dyDescent="0.3">
      <c r="A41" s="24"/>
      <c r="B41" s="25"/>
    </row>
    <row r="42" spans="1:2" x14ac:dyDescent="0.3">
      <c r="A42" s="24"/>
      <c r="B42" s="25"/>
    </row>
    <row r="43" spans="1:2" x14ac:dyDescent="0.3">
      <c r="A43" s="24"/>
      <c r="B43" s="2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9ABD-B92B-4D3C-B16A-0B225729D42D}">
  <sheetPr codeName="Tabelle7"/>
  <dimension ref="A1:C20"/>
  <sheetViews>
    <sheetView workbookViewId="0">
      <pane ySplit="1" topLeftCell="A2" activePane="bottomLeft" state="frozen"/>
      <selection pane="bottomLeft" activeCell="C18" sqref="C18"/>
    </sheetView>
  </sheetViews>
  <sheetFormatPr baseColWidth="10" defaultRowHeight="14.4" x14ac:dyDescent="0.3"/>
  <cols>
    <col min="1" max="1" width="6.33203125" style="1" customWidth="1"/>
    <col min="2" max="2" width="67.6640625" customWidth="1"/>
    <col min="3" max="3" width="54.33203125" bestFit="1" customWidth="1"/>
  </cols>
  <sheetData>
    <row r="1" spans="1:3" x14ac:dyDescent="0.3">
      <c r="A1" s="40" t="s">
        <v>157</v>
      </c>
      <c r="B1" s="34" t="s">
        <v>194</v>
      </c>
      <c r="C1" s="34" t="s">
        <v>193</v>
      </c>
    </row>
    <row r="2" spans="1:3" ht="28.8" x14ac:dyDescent="0.3">
      <c r="A2" s="41">
        <v>500</v>
      </c>
      <c r="B2" s="33" t="s">
        <v>204</v>
      </c>
      <c r="C2" s="42"/>
    </row>
    <row r="3" spans="1:3" x14ac:dyDescent="0.3">
      <c r="A3" s="41">
        <v>7</v>
      </c>
      <c r="B3" s="33" t="s">
        <v>215</v>
      </c>
      <c r="C3" s="42"/>
    </row>
    <row r="4" spans="1:3" ht="28.8" x14ac:dyDescent="0.3">
      <c r="A4" s="41">
        <v>70</v>
      </c>
      <c r="B4" s="33" t="s">
        <v>216</v>
      </c>
      <c r="C4" s="42"/>
    </row>
    <row r="5" spans="1:3" ht="100.8" x14ac:dyDescent="0.3">
      <c r="A5" s="41">
        <v>115</v>
      </c>
      <c r="B5" s="33" t="s">
        <v>206</v>
      </c>
      <c r="C5" s="42"/>
    </row>
    <row r="6" spans="1:3" ht="43.2" x14ac:dyDescent="0.3">
      <c r="A6" s="41">
        <v>144</v>
      </c>
      <c r="B6" s="33" t="s">
        <v>207</v>
      </c>
      <c r="C6" s="42"/>
    </row>
    <row r="7" spans="1:3" ht="28.8" x14ac:dyDescent="0.3">
      <c r="A7" s="41">
        <v>151</v>
      </c>
      <c r="B7" s="33" t="s">
        <v>208</v>
      </c>
      <c r="C7" s="42"/>
    </row>
    <row r="8" spans="1:3" x14ac:dyDescent="0.3">
      <c r="A8" s="41">
        <v>247</v>
      </c>
      <c r="B8" s="33" t="s">
        <v>209</v>
      </c>
      <c r="C8" s="42"/>
    </row>
    <row r="9" spans="1:3" x14ac:dyDescent="0.3">
      <c r="A9" s="41">
        <v>266</v>
      </c>
      <c r="B9" s="33" t="s">
        <v>30</v>
      </c>
      <c r="C9" s="42"/>
    </row>
    <row r="10" spans="1:3" x14ac:dyDescent="0.3">
      <c r="A10" s="41">
        <v>279</v>
      </c>
      <c r="B10" s="33" t="s">
        <v>53</v>
      </c>
      <c r="C10" s="42"/>
    </row>
    <row r="11" spans="1:3" ht="57.6" x14ac:dyDescent="0.3">
      <c r="A11" s="41">
        <v>282</v>
      </c>
      <c r="B11" s="33" t="s">
        <v>210</v>
      </c>
      <c r="C11" s="42"/>
    </row>
    <row r="12" spans="1:3" ht="28.8" x14ac:dyDescent="0.3">
      <c r="A12" s="41">
        <v>305</v>
      </c>
      <c r="B12" s="33" t="s">
        <v>211</v>
      </c>
      <c r="C12" s="42"/>
    </row>
    <row r="13" spans="1:3" x14ac:dyDescent="0.3">
      <c r="A13" s="41">
        <v>311</v>
      </c>
      <c r="B13" s="33" t="s">
        <v>61</v>
      </c>
      <c r="C13" s="42"/>
    </row>
    <row r="14" spans="1:3" ht="43.2" x14ac:dyDescent="0.3">
      <c r="A14" s="41">
        <v>378</v>
      </c>
      <c r="B14" s="33" t="s">
        <v>212</v>
      </c>
      <c r="C14" s="42"/>
    </row>
    <row r="15" spans="1:3" ht="57.6" x14ac:dyDescent="0.3">
      <c r="A15" s="41">
        <v>391</v>
      </c>
      <c r="B15" s="33" t="s">
        <v>213</v>
      </c>
      <c r="C15" s="42"/>
    </row>
    <row r="16" spans="1:3" ht="28.8" x14ac:dyDescent="0.3">
      <c r="A16" s="41">
        <v>522</v>
      </c>
      <c r="B16" s="33" t="s">
        <v>214</v>
      </c>
      <c r="C16" s="42"/>
    </row>
    <row r="17" spans="1:3" x14ac:dyDescent="0.3">
      <c r="A17" s="41">
        <v>829</v>
      </c>
      <c r="B17" s="33" t="s">
        <v>13</v>
      </c>
      <c r="C17" s="42"/>
    </row>
    <row r="18" spans="1:3" x14ac:dyDescent="0.3">
      <c r="A18" s="41">
        <v>835</v>
      </c>
      <c r="B18" s="33" t="s">
        <v>12</v>
      </c>
      <c r="C18" s="42"/>
    </row>
    <row r="19" spans="1:3" ht="86.4" x14ac:dyDescent="0.3">
      <c r="A19" s="41">
        <v>916</v>
      </c>
      <c r="B19" s="33" t="s">
        <v>217</v>
      </c>
      <c r="C19" s="42"/>
    </row>
    <row r="20" spans="1:3" ht="28.8" x14ac:dyDescent="0.3">
      <c r="A20" s="41">
        <v>1047</v>
      </c>
      <c r="B20" s="33" t="s">
        <v>205</v>
      </c>
      <c r="C20" s="42" t="s">
        <v>218</v>
      </c>
    </row>
  </sheetData>
  <hyperlinks>
    <hyperlink ref="C20" r:id="rId1" display="http://www.mankei.eu/abfallkalender/index.php?caldb_id=13014" xr:uid="{7EBB792D-820D-4DF2-AEE4-BFBB71296E90}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Config</vt:lpstr>
      <vt:lpstr>Straßenindex</vt:lpstr>
      <vt:lpstr>Restmüll</vt:lpstr>
      <vt:lpstr>Biomüll</vt:lpstr>
      <vt:lpstr>GelberSack</vt:lpstr>
      <vt:lpstr>Garten</vt:lpstr>
      <vt:lpstr>Korrektur</vt:lpstr>
      <vt:lpstr>Ical-Links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Drews</dc:creator>
  <cp:lastModifiedBy>Thomas Drews</cp:lastModifiedBy>
  <dcterms:created xsi:type="dcterms:W3CDTF">2021-01-02T15:48:34Z</dcterms:created>
  <dcterms:modified xsi:type="dcterms:W3CDTF">2026-01-02T00:09:27Z</dcterms:modified>
</cp:coreProperties>
</file>